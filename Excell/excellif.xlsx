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5c52687c3375dc/Desktop/"/>
    </mc:Choice>
  </mc:AlternateContent>
  <xr:revisionPtr revIDLastSave="0" documentId="8_{2354880E-8750-4F04-A150-947134629902}" xr6:coauthVersionLast="47" xr6:coauthVersionMax="47" xr10:uidLastSave="{00000000-0000-0000-0000-000000000000}"/>
  <bookViews>
    <workbookView xWindow="-110" yWindow="-110" windowWidth="19420" windowHeight="10300" xr2:uid="{A72E7766-FAEB-4DD5-A50A-52279B16454D}"/>
  </bookViews>
  <sheets>
    <sheet name="Sheet1" sheetId="1" r:id="rId1"/>
    <sheet name="Task 1" sheetId="2" r:id="rId2"/>
    <sheet name="task 2" sheetId="3" r:id="rId3"/>
    <sheet name="task 3" sheetId="4" r:id="rId4"/>
    <sheet name="task 4" sheetId="5" r:id="rId5"/>
    <sheet name="task 5" sheetId="6" r:id="rId6"/>
    <sheet name="Task 6" sheetId="7" r:id="rId7"/>
    <sheet name="Task 7" sheetId="8" r:id="rId8"/>
    <sheet name="Task 8" sheetId="9" r:id="rId9"/>
    <sheet name="Task 9" sheetId="10" r:id="rId10"/>
    <sheet name="Task 1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8" i="1"/>
  <c r="I9" i="10"/>
  <c r="I10" i="10"/>
  <c r="I11" i="10"/>
  <c r="I8" i="10"/>
  <c r="H10" i="9"/>
  <c r="H11" i="9"/>
  <c r="H12" i="9"/>
  <c r="H9" i="9"/>
  <c r="J10" i="8"/>
  <c r="J11" i="8"/>
  <c r="J12" i="8"/>
  <c r="J9" i="8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8" i="7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7" i="6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8" i="5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10" i="3"/>
  <c r="H10" i="3" s="1"/>
  <c r="G11" i="3"/>
  <c r="H11" i="3" s="1"/>
  <c r="G12" i="3"/>
  <c r="H12" i="3" s="1"/>
  <c r="G9" i="3"/>
  <c r="H9" i="3" s="1"/>
  <c r="I11" i="2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12" i="2"/>
  <c r="I12" i="2" s="1"/>
  <c r="H13" i="2"/>
  <c r="I13" i="2" s="1"/>
  <c r="H14" i="2"/>
  <c r="I14" i="2" s="1"/>
  <c r="H15" i="2"/>
  <c r="I15" i="2" s="1"/>
</calcChain>
</file>

<file path=xl/sharedStrings.xml><?xml version="1.0" encoding="utf-8"?>
<sst xmlns="http://schemas.openxmlformats.org/spreadsheetml/2006/main" count="250" uniqueCount="60">
  <si>
    <t>Faculty Name</t>
  </si>
  <si>
    <t>Classes Conducted</t>
  </si>
  <si>
    <t>Attendance%</t>
  </si>
  <si>
    <t>Performance</t>
  </si>
  <si>
    <t>Rajesh</t>
  </si>
  <si>
    <t>Sunita</t>
  </si>
  <si>
    <t>Manoj</t>
  </si>
  <si>
    <t>Kavita</t>
  </si>
  <si>
    <t>Anil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</si>
  <si>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</si>
  <si>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</si>
  <si>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</si>
  <si>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</si>
  <si>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</si>
  <si>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</si>
  <si>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</si>
  <si>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</si>
  <si>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</si>
  <si>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</si>
  <si>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</si>
  <si>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</si>
  <si>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</si>
  <si>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</si>
  <si>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</si>
  <si>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</si>
  <si>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</si>
  <si>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Task</t>
  </si>
  <si>
    <t>≥ 75 → A</t>
  </si>
  <si>
    <t>≥ 60 → B</t>
  </si>
  <si>
    <t>≥ 40 → C</t>
  </si>
  <si>
    <t>&lt; 40 → Fail</t>
  </si>
  <si>
    <t>A</t>
  </si>
  <si>
    <t>B</t>
  </si>
  <si>
    <t>C</t>
  </si>
  <si>
    <t>Fail</t>
  </si>
  <si>
    <t>Name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</si>
  <si>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</si>
  <si>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</si>
  <si>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</si>
  <si>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</si>
  <si>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</si>
  <si>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</si>
  <si>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</si>
  <si>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Yess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</si>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</sst>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1F2328"/>
      <name val="Segoe UI"/>
      <family val="2"/>
    </font>
    <font>
      <sz val="8"/>
      <color rgb="FF1F2328"/>
      <name val="Segoe UI"/>
      <family val="2"/>
    </font>
    <font>
      <sz val="13.75"/>
      <color rgb="FF1F232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C37A-B470-432E-97F7-8489994E175B}">
  <dimension ref="E7:H12"/>
  <sheetViews>
    <sheetView tabSelected="1" workbookViewId="0">
      <selection activeCell="I5" sqref="I5"/>
    </sheetView>
  </sheetViews>
  <sheetFormatPr defaultRowHeight="14.5" x14ac:dyDescent="0.35"/>
  <cols>
    <col min="5" max="5" width="12" bestFit="1" customWidth="1"/>
    <col min="6" max="6" width="16.36328125" bestFit="1" customWidth="1"/>
    <col min="7" max="7" width="11.81640625" bestFit="1" customWidth="1"/>
    <col min="8" max="8" width="17.1796875" bestFit="1" customWidth="1"/>
    <col min="9" max="9" width="11.81640625" bestFit="1" customWidth="1"/>
    <col min="10" max="10" width="11.54296875" bestFit="1" customWidth="1"/>
  </cols>
  <sheetData>
    <row r="7" spans="5:8" x14ac:dyDescent="0.35">
      <c r="E7" s="1" t="s">
        <v>0</v>
      </c>
      <c r="F7" s="2" t="s">
        <v>1</v>
      </c>
      <c r="G7" s="2" t="s">
        <v>2</v>
      </c>
      <c r="H7" s="2" t="s">
        <v>3</v>
      </c>
    </row>
    <row r="8" spans="5:8" x14ac:dyDescent="0.35">
      <c r="E8" t="s">
        <v>4</v>
      </c>
      <c r="F8">
        <v>45</v>
      </c>
      <c r="G8">
        <v>92</v>
      </c>
      <c r="H8" t="str">
        <f>IF(AND(G8&gt;=90,F8&gt;=40),"Excellent",IF(G8&gt;=80,"Good","Need Improvement"))</f>
        <v>Excellent</v>
      </c>
    </row>
    <row r="9" spans="5:8" x14ac:dyDescent="0.35">
      <c r="E9" t="s">
        <v>5</v>
      </c>
      <c r="F9">
        <v>38</v>
      </c>
      <c r="G9">
        <v>85</v>
      </c>
      <c r="H9" t="str">
        <f t="shared" ref="H9:H12" si="0">IF(AND(G9&gt;=90,F9&gt;=40),"Excellent",IF(G9&gt;=80,"Good","Need Improvement"))</f>
        <v>Good</v>
      </c>
    </row>
    <row r="10" spans="5:8" x14ac:dyDescent="0.35">
      <c r="E10" t="s">
        <v>6</v>
      </c>
      <c r="F10">
        <v>50</v>
      </c>
      <c r="G10">
        <v>95</v>
      </c>
      <c r="H10" t="str">
        <f t="shared" si="0"/>
        <v>Excellent</v>
      </c>
    </row>
    <row r="11" spans="5:8" x14ac:dyDescent="0.35">
      <c r="E11" t="s">
        <v>7</v>
      </c>
      <c r="F11">
        <v>30</v>
      </c>
      <c r="G11">
        <v>70</v>
      </c>
      <c r="H11" t="str">
        <f t="shared" si="0"/>
        <v>Need Improvement</v>
      </c>
    </row>
    <row r="12" spans="5:8" x14ac:dyDescent="0.35">
      <c r="E12" t="s">
        <v>8</v>
      </c>
      <c r="F12">
        <v>42</v>
      </c>
      <c r="G12">
        <v>88</v>
      </c>
      <c r="H12" t="str">
        <f t="shared" si="0"/>
        <v>Good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F997-DD9E-42E3-BA16-97798AC815DB}">
  <dimension ref="F10:I30"/>
  <sheetViews>
    <sheetView topLeftCell="A7" workbookViewId="0">
      <selection activeCell="I11" sqref="I11:I30"/>
    </sheetView>
  </sheetViews>
  <sheetFormatPr defaultRowHeight="14.5" x14ac:dyDescent="0.35"/>
  <cols>
    <col min="6" max="6" width="6.1796875" bestFit="1" customWidth="1"/>
    <col min="7" max="7" width="11" bestFit="1" customWidth="1"/>
    <col min="8" max="8" width="5.1796875" bestFit="1" customWidth="1"/>
    <col min="9" max="9" width="6.26953125" bestFit="1" customWidth="1"/>
  </cols>
  <sheetData>
    <row r="10" spans="6:9" x14ac:dyDescent="0.35">
      <c r="F10" s="9" t="s">
        <v>9</v>
      </c>
      <c r="G10" s="9" t="s">
        <v>10</v>
      </c>
      <c r="H10" s="9" t="s">
        <v>11</v>
      </c>
      <c r="I10" s="9" t="s">
        <v>12</v>
      </c>
    </row>
    <row r="11" spans="6:9" x14ac:dyDescent="0.35">
      <c r="F11" s="7">
        <v>1</v>
      </c>
      <c r="G11" s="7" t="s">
        <v>13</v>
      </c>
      <c r="H11" s="7">
        <v>54</v>
      </c>
      <c r="I11" s="7" t="str">
        <f>IF(H11&gt;40,"Pass","Fail")</f>
        <v>Pass</v>
      </c>
    </row>
    <row r="12" spans="6:9" x14ac:dyDescent="0.35">
      <c r="F12" s="8">
        <v>2</v>
      </c>
      <c r="G12" s="8" t="s">
        <v>14</v>
      </c>
      <c r="H12" s="7">
        <f t="shared" ref="H12:H30" ca="1" si="0">RANDBETWEEN(10,100)</f>
        <v>98</v>
      </c>
      <c r="I12" s="7" t="str">
        <f t="shared" ref="I12:I30" ca="1" si="1">IF(H12&gt;40,"Pass","Fail")</f>
        <v>Pass</v>
      </c>
    </row>
    <row r="13" spans="6:9" x14ac:dyDescent="0.35">
      <c r="F13" s="7">
        <v>3</v>
      </c>
      <c r="G13" s="7" t="s">
        <v>15</v>
      </c>
      <c r="H13" s="7">
        <f t="shared" ca="1" si="0"/>
        <v>93</v>
      </c>
      <c r="I13" s="7" t="str">
        <f t="shared" ca="1" si="1"/>
        <v>Pass</v>
      </c>
    </row>
    <row r="14" spans="6:9" x14ac:dyDescent="0.35">
      <c r="F14" s="8">
        <v>4</v>
      </c>
      <c r="G14" s="8" t="s">
        <v>16</v>
      </c>
      <c r="H14" s="7">
        <f t="shared" ca="1" si="0"/>
        <v>97</v>
      </c>
      <c r="I14" s="7" t="str">
        <f t="shared" ca="1" si="1"/>
        <v>Pass</v>
      </c>
    </row>
    <row r="15" spans="6:9" x14ac:dyDescent="0.35">
      <c r="F15" s="7">
        <v>5</v>
      </c>
      <c r="G15" s="7" t="s">
        <v>17</v>
      </c>
      <c r="H15" s="7">
        <f t="shared" ca="1" si="0"/>
        <v>61</v>
      </c>
      <c r="I15" s="7" t="str">
        <f t="shared" ca="1" si="1"/>
        <v>Pass</v>
      </c>
    </row>
    <row r="16" spans="6:9" x14ac:dyDescent="0.35">
      <c r="F16" s="7">
        <v>6</v>
      </c>
      <c r="G16" s="7" t="s">
        <v>13</v>
      </c>
      <c r="H16" s="7">
        <f t="shared" ca="1" si="0"/>
        <v>99</v>
      </c>
      <c r="I16" s="7" t="str">
        <f t="shared" ca="1" si="1"/>
        <v>Pass</v>
      </c>
    </row>
    <row r="17" spans="6:9" x14ac:dyDescent="0.35">
      <c r="F17" s="8">
        <v>7</v>
      </c>
      <c r="G17" s="8" t="s">
        <v>14</v>
      </c>
      <c r="H17" s="7">
        <f t="shared" ca="1" si="0"/>
        <v>30</v>
      </c>
      <c r="I17" s="7" t="str">
        <f t="shared" ca="1" si="1"/>
        <v>Fail</v>
      </c>
    </row>
    <row r="18" spans="6:9" x14ac:dyDescent="0.35">
      <c r="F18" s="7">
        <v>8</v>
      </c>
      <c r="G18" s="7" t="s">
        <v>15</v>
      </c>
      <c r="H18" s="7">
        <f t="shared" ca="1" si="0"/>
        <v>100</v>
      </c>
      <c r="I18" s="7" t="str">
        <f t="shared" ca="1" si="1"/>
        <v>Pass</v>
      </c>
    </row>
    <row r="19" spans="6:9" x14ac:dyDescent="0.35">
      <c r="F19" s="8">
        <v>9</v>
      </c>
      <c r="G19" s="8" t="s">
        <v>16</v>
      </c>
      <c r="H19" s="7">
        <f t="shared" ca="1" si="0"/>
        <v>39</v>
      </c>
      <c r="I19" s="7" t="str">
        <f t="shared" ca="1" si="1"/>
        <v>Fail</v>
      </c>
    </row>
    <row r="20" spans="6:9" x14ac:dyDescent="0.35">
      <c r="F20" s="7">
        <v>10</v>
      </c>
      <c r="G20" s="7" t="s">
        <v>17</v>
      </c>
      <c r="H20" s="7">
        <f t="shared" ca="1" si="0"/>
        <v>35</v>
      </c>
      <c r="I20" s="7" t="str">
        <f t="shared" ca="1" si="1"/>
        <v>Fail</v>
      </c>
    </row>
    <row r="21" spans="6:9" x14ac:dyDescent="0.35">
      <c r="F21" s="7">
        <v>11</v>
      </c>
      <c r="G21" s="7" t="s">
        <v>13</v>
      </c>
      <c r="H21" s="7">
        <f t="shared" ca="1" si="0"/>
        <v>73</v>
      </c>
      <c r="I21" s="7" t="str">
        <f t="shared" ca="1" si="1"/>
        <v>Pass</v>
      </c>
    </row>
    <row r="22" spans="6:9" x14ac:dyDescent="0.35">
      <c r="F22" s="8">
        <v>12</v>
      </c>
      <c r="G22" s="8" t="s">
        <v>14</v>
      </c>
      <c r="H22" s="7">
        <f t="shared" ca="1" si="0"/>
        <v>13</v>
      </c>
      <c r="I22" s="7" t="str">
        <f t="shared" ca="1" si="1"/>
        <v>Fail</v>
      </c>
    </row>
    <row r="23" spans="6:9" x14ac:dyDescent="0.35">
      <c r="F23" s="7">
        <v>13</v>
      </c>
      <c r="G23" s="7" t="s">
        <v>15</v>
      </c>
      <c r="H23" s="7">
        <f t="shared" ca="1" si="0"/>
        <v>80</v>
      </c>
      <c r="I23" s="7" t="str">
        <f t="shared" ca="1" si="1"/>
        <v>Pass</v>
      </c>
    </row>
    <row r="24" spans="6:9" x14ac:dyDescent="0.35">
      <c r="F24" s="8">
        <v>14</v>
      </c>
      <c r="G24" s="8" t="s">
        <v>16</v>
      </c>
      <c r="H24" s="7">
        <f t="shared" ca="1" si="0"/>
        <v>94</v>
      </c>
      <c r="I24" s="7" t="str">
        <f t="shared" ca="1" si="1"/>
        <v>Pass</v>
      </c>
    </row>
    <row r="25" spans="6:9" x14ac:dyDescent="0.35">
      <c r="F25" s="7">
        <v>15</v>
      </c>
      <c r="G25" s="7" t="s">
        <v>17</v>
      </c>
      <c r="H25" s="7">
        <f t="shared" ca="1" si="0"/>
        <v>77</v>
      </c>
      <c r="I25" s="7" t="str">
        <f t="shared" ca="1" si="1"/>
        <v>Pass</v>
      </c>
    </row>
    <row r="26" spans="6:9" x14ac:dyDescent="0.35">
      <c r="F26" s="7">
        <v>16</v>
      </c>
      <c r="G26" s="7" t="s">
        <v>13</v>
      </c>
      <c r="H26" s="7">
        <f t="shared" ca="1" si="0"/>
        <v>84</v>
      </c>
      <c r="I26" s="7" t="str">
        <f t="shared" ca="1" si="1"/>
        <v>Pass</v>
      </c>
    </row>
    <row r="27" spans="6:9" x14ac:dyDescent="0.35">
      <c r="F27" s="8">
        <v>17</v>
      </c>
      <c r="G27" s="8" t="s">
        <v>14</v>
      </c>
      <c r="H27" s="7">
        <f t="shared" ca="1" si="0"/>
        <v>13</v>
      </c>
      <c r="I27" s="7" t="str">
        <f t="shared" ca="1" si="1"/>
        <v>Fail</v>
      </c>
    </row>
    <row r="28" spans="6:9" x14ac:dyDescent="0.35">
      <c r="F28" s="7">
        <v>18</v>
      </c>
      <c r="G28" s="7" t="s">
        <v>15</v>
      </c>
      <c r="H28" s="7">
        <f t="shared" ca="1" si="0"/>
        <v>30</v>
      </c>
      <c r="I28" s="7" t="str">
        <f t="shared" ca="1" si="1"/>
        <v>Fail</v>
      </c>
    </row>
    <row r="29" spans="6:9" x14ac:dyDescent="0.35">
      <c r="F29" s="8">
        <v>19</v>
      </c>
      <c r="G29" s="8" t="s">
        <v>16</v>
      </c>
      <c r="H29" s="7">
        <f t="shared" ca="1" si="0"/>
        <v>76</v>
      </c>
      <c r="I29" s="7" t="str">
        <f t="shared" ca="1" si="1"/>
        <v>Pass</v>
      </c>
    </row>
    <row r="30" spans="6:9" x14ac:dyDescent="0.35">
      <c r="F30" s="7">
        <v>20</v>
      </c>
      <c r="G30" s="7" t="s">
        <v>17</v>
      </c>
      <c r="H30" s="7">
        <f t="shared" ca="1" si="0"/>
        <v>43</v>
      </c>
      <c r="I30" s="7" t="str">
        <f t="shared" ca="1" si="1"/>
        <v>Pass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ED8F-C9E6-41B1-91BC-2E0975702182}">
  <dimension ref="F8:H29"/>
  <sheetViews>
    <sheetView topLeftCell="A7" workbookViewId="0">
      <selection activeCell="J6" sqref="J6"/>
    </sheetView>
  </sheetViews>
  <sheetFormatPr defaultRowHeight="14.5" x14ac:dyDescent="0.35"/>
  <cols>
    <col min="6" max="6" width="12.36328125" bestFit="1" customWidth="1"/>
    <col min="7" max="7" width="5.26953125" bestFit="1" customWidth="1"/>
    <col min="8" max="8" width="10.08984375" bestFit="1" customWidth="1"/>
  </cols>
  <sheetData>
    <row r="8" spans="6:8" x14ac:dyDescent="0.35">
      <c r="F8" s="9" t="s">
        <v>18</v>
      </c>
      <c r="G8" s="9" t="s">
        <v>19</v>
      </c>
      <c r="H8" s="9" t="s">
        <v>20</v>
      </c>
    </row>
    <row r="9" spans="6:8" x14ac:dyDescent="0.35">
      <c r="F9" s="10" t="s">
        <v>21</v>
      </c>
      <c r="G9" s="10">
        <f ca="1">RANDBETWEEN(30000,50000)</f>
        <v>38905</v>
      </c>
      <c r="H9" s="10" t="str">
        <f ca="1">IF(G9&gt;40000,"Bonus","No Bonus")</f>
        <v>No Bonus</v>
      </c>
    </row>
    <row r="10" spans="6:8" x14ac:dyDescent="0.35">
      <c r="F10" s="10" t="s">
        <v>22</v>
      </c>
      <c r="G10" s="10">
        <f t="shared" ref="G10:G29" ca="1" si="0">RANDBETWEEN(30000,50000)</f>
        <v>37301</v>
      </c>
      <c r="H10" s="10" t="str">
        <f t="shared" ref="H10:H29" ca="1" si="1">IF(G10&gt;40000,"Bonus","No Bonus")</f>
        <v>No Bonus</v>
      </c>
    </row>
    <row r="11" spans="6:8" x14ac:dyDescent="0.35">
      <c r="F11" s="10" t="s">
        <v>23</v>
      </c>
      <c r="G11" s="10">
        <f t="shared" ca="1" si="0"/>
        <v>38862</v>
      </c>
      <c r="H11" s="10" t="str">
        <f t="shared" ca="1" si="1"/>
        <v>No Bonus</v>
      </c>
    </row>
    <row r="12" spans="6:8" x14ac:dyDescent="0.35">
      <c r="F12" s="10" t="s">
        <v>24</v>
      </c>
      <c r="G12" s="10">
        <f t="shared" ca="1" si="0"/>
        <v>36966</v>
      </c>
      <c r="H12" s="10" t="str">
        <f t="shared" ca="1" si="1"/>
        <v>No Bonus</v>
      </c>
    </row>
    <row r="13" spans="6:8" x14ac:dyDescent="0.35">
      <c r="F13" s="10" t="s">
        <v>21</v>
      </c>
      <c r="G13" s="10">
        <f t="shared" ca="1" si="0"/>
        <v>33423</v>
      </c>
      <c r="H13" s="10" t="str">
        <f t="shared" ca="1" si="1"/>
        <v>No Bonus</v>
      </c>
    </row>
    <row r="14" spans="6:8" x14ac:dyDescent="0.35">
      <c r="F14" s="10" t="s">
        <v>22</v>
      </c>
      <c r="G14" s="10">
        <f t="shared" ca="1" si="0"/>
        <v>36042</v>
      </c>
      <c r="H14" s="10" t="str">
        <f t="shared" ca="1" si="1"/>
        <v>No Bonus</v>
      </c>
    </row>
    <row r="15" spans="6:8" x14ac:dyDescent="0.35">
      <c r="F15" s="10" t="s">
        <v>23</v>
      </c>
      <c r="G15" s="10">
        <f t="shared" ca="1" si="0"/>
        <v>41887</v>
      </c>
      <c r="H15" s="10" t="str">
        <f t="shared" ca="1" si="1"/>
        <v>Bonus</v>
      </c>
    </row>
    <row r="16" spans="6:8" x14ac:dyDescent="0.35">
      <c r="F16" s="10" t="s">
        <v>24</v>
      </c>
      <c r="G16" s="10">
        <f t="shared" ca="1" si="0"/>
        <v>33171</v>
      </c>
      <c r="H16" s="10" t="str">
        <f t="shared" ca="1" si="1"/>
        <v>No Bonus</v>
      </c>
    </row>
    <row r="17" spans="6:8" x14ac:dyDescent="0.35">
      <c r="F17" s="10" t="s">
        <v>21</v>
      </c>
      <c r="G17" s="10">
        <f t="shared" ca="1" si="0"/>
        <v>32779</v>
      </c>
      <c r="H17" s="10" t="str">
        <f t="shared" ca="1" si="1"/>
        <v>No Bonus</v>
      </c>
    </row>
    <row r="18" spans="6:8" x14ac:dyDescent="0.35">
      <c r="F18" s="10" t="s">
        <v>22</v>
      </c>
      <c r="G18" s="10">
        <f t="shared" ca="1" si="0"/>
        <v>40679</v>
      </c>
      <c r="H18" s="10" t="str">
        <f t="shared" ca="1" si="1"/>
        <v>Bonus</v>
      </c>
    </row>
    <row r="19" spans="6:8" x14ac:dyDescent="0.35">
      <c r="F19" s="10" t="s">
        <v>23</v>
      </c>
      <c r="G19" s="10">
        <f t="shared" ca="1" si="0"/>
        <v>31458</v>
      </c>
      <c r="H19" s="10" t="str">
        <f t="shared" ca="1" si="1"/>
        <v>No Bonus</v>
      </c>
    </row>
    <row r="20" spans="6:8" x14ac:dyDescent="0.35">
      <c r="F20" s="10" t="s">
        <v>24</v>
      </c>
      <c r="G20" s="10">
        <f t="shared" ca="1" si="0"/>
        <v>30488</v>
      </c>
      <c r="H20" s="10" t="str">
        <f t="shared" ca="1" si="1"/>
        <v>No Bonus</v>
      </c>
    </row>
    <row r="21" spans="6:8" x14ac:dyDescent="0.35">
      <c r="F21" s="10" t="s">
        <v>21</v>
      </c>
      <c r="G21" s="10">
        <f t="shared" ca="1" si="0"/>
        <v>45376</v>
      </c>
      <c r="H21" s="10" t="str">
        <f t="shared" ca="1" si="1"/>
        <v>Bonus</v>
      </c>
    </row>
    <row r="22" spans="6:8" x14ac:dyDescent="0.35">
      <c r="F22" s="10" t="s">
        <v>22</v>
      </c>
      <c r="G22" s="10">
        <f t="shared" ca="1" si="0"/>
        <v>44221</v>
      </c>
      <c r="H22" s="10" t="str">
        <f t="shared" ca="1" si="1"/>
        <v>Bonus</v>
      </c>
    </row>
    <row r="23" spans="6:8" x14ac:dyDescent="0.35">
      <c r="F23" s="10" t="s">
        <v>23</v>
      </c>
      <c r="G23" s="10">
        <f t="shared" ca="1" si="0"/>
        <v>38556</v>
      </c>
      <c r="H23" s="10" t="str">
        <f t="shared" ca="1" si="1"/>
        <v>No Bonus</v>
      </c>
    </row>
    <row r="24" spans="6:8" x14ac:dyDescent="0.35">
      <c r="F24" s="10" t="s">
        <v>24</v>
      </c>
      <c r="G24" s="10">
        <f t="shared" ca="1" si="0"/>
        <v>43317</v>
      </c>
      <c r="H24" s="10" t="str">
        <f t="shared" ca="1" si="1"/>
        <v>Bonus</v>
      </c>
    </row>
    <row r="25" spans="6:8" x14ac:dyDescent="0.35">
      <c r="F25" s="10" t="s">
        <v>21</v>
      </c>
      <c r="G25" s="10">
        <f t="shared" ca="1" si="0"/>
        <v>49316</v>
      </c>
      <c r="H25" s="10" t="str">
        <f t="shared" ca="1" si="1"/>
        <v>Bonus</v>
      </c>
    </row>
    <row r="26" spans="6:8" x14ac:dyDescent="0.35">
      <c r="F26" s="10" t="s">
        <v>22</v>
      </c>
      <c r="G26" s="10">
        <f t="shared" ca="1" si="0"/>
        <v>35750</v>
      </c>
      <c r="H26" s="10" t="str">
        <f t="shared" ca="1" si="1"/>
        <v>No Bonus</v>
      </c>
    </row>
    <row r="27" spans="6:8" x14ac:dyDescent="0.35">
      <c r="F27" s="10" t="s">
        <v>23</v>
      </c>
      <c r="G27" s="10">
        <f t="shared" ca="1" si="0"/>
        <v>39435</v>
      </c>
      <c r="H27" s="10" t="str">
        <f t="shared" ca="1" si="1"/>
        <v>No Bonus</v>
      </c>
    </row>
    <row r="28" spans="6:8" x14ac:dyDescent="0.35">
      <c r="F28" s="10" t="s">
        <v>24</v>
      </c>
      <c r="G28" s="10">
        <f t="shared" ca="1" si="0"/>
        <v>32401</v>
      </c>
      <c r="H28" s="10" t="str">
        <f t="shared" ca="1" si="1"/>
        <v>No Bonus</v>
      </c>
    </row>
    <row r="29" spans="6:8" x14ac:dyDescent="0.35">
      <c r="F29" s="10" t="s">
        <v>21</v>
      </c>
      <c r="G29" s="10">
        <f t="shared" ca="1" si="0"/>
        <v>34650</v>
      </c>
      <c r="H29" s="10" t="str">
        <f t="shared" ca="1" si="1"/>
        <v>No Bonus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740C-D05F-42B3-83B7-6F71CEBB1451}">
  <dimension ref="F6:M28"/>
  <sheetViews>
    <sheetView topLeftCell="A2" workbookViewId="0">
      <selection activeCell="J11" sqref="J11"/>
    </sheetView>
  </sheetViews>
  <sheetFormatPr defaultRowHeight="14.5" x14ac:dyDescent="0.35"/>
  <cols>
    <col min="6" max="6" width="11" bestFit="1" customWidth="1"/>
    <col min="7" max="7" width="5.1796875" bestFit="1" customWidth="1"/>
    <col min="8" max="8" width="5.08984375" bestFit="1" customWidth="1"/>
  </cols>
  <sheetData>
    <row r="6" spans="6:13" x14ac:dyDescent="0.35">
      <c r="F6" s="9" t="s">
        <v>10</v>
      </c>
      <c r="G6" s="9" t="s">
        <v>11</v>
      </c>
      <c r="H6" s="9" t="s">
        <v>25</v>
      </c>
    </row>
    <row r="7" spans="6:13" x14ac:dyDescent="0.35">
      <c r="F7" s="7" t="s">
        <v>13</v>
      </c>
      <c r="G7" s="7">
        <v>72</v>
      </c>
      <c r="H7" s="7" t="s">
        <v>32</v>
      </c>
    </row>
    <row r="8" spans="6:13" x14ac:dyDescent="0.35">
      <c r="F8" s="8" t="s">
        <v>14</v>
      </c>
      <c r="G8" s="7">
        <v>73</v>
      </c>
      <c r="H8" s="7" t="s">
        <v>32</v>
      </c>
    </row>
    <row r="9" spans="6:13" x14ac:dyDescent="0.35">
      <c r="F9" s="7" t="s">
        <v>15</v>
      </c>
      <c r="G9" s="7">
        <v>81</v>
      </c>
      <c r="H9" s="7" t="s">
        <v>31</v>
      </c>
    </row>
    <row r="10" spans="6:13" ht="21" x14ac:dyDescent="0.35">
      <c r="F10" s="8" t="s">
        <v>16</v>
      </c>
      <c r="G10" s="7">
        <v>41</v>
      </c>
      <c r="H10" s="7" t="s">
        <v>33</v>
      </c>
      <c r="M10" s="11" t="s">
        <v>26</v>
      </c>
    </row>
    <row r="11" spans="6:13" x14ac:dyDescent="0.35">
      <c r="F11" s="7" t="s">
        <v>17</v>
      </c>
      <c r="G11" s="7">
        <v>52</v>
      </c>
      <c r="H11" s="7" t="s">
        <v>33</v>
      </c>
      <c r="M11" s="12" t="s">
        <v>27</v>
      </c>
    </row>
    <row r="12" spans="6:13" x14ac:dyDescent="0.35">
      <c r="F12" s="7" t="s">
        <v>13</v>
      </c>
      <c r="G12" s="7">
        <v>46</v>
      </c>
      <c r="H12" s="7" t="s">
        <v>33</v>
      </c>
      <c r="M12" s="12" t="s">
        <v>28</v>
      </c>
    </row>
    <row r="13" spans="6:13" x14ac:dyDescent="0.35">
      <c r="F13" s="8" t="s">
        <v>14</v>
      </c>
      <c r="G13" s="7">
        <v>35</v>
      </c>
      <c r="H13" s="7" t="s">
        <v>34</v>
      </c>
      <c r="M13" s="12" t="s">
        <v>29</v>
      </c>
    </row>
    <row r="14" spans="6:13" ht="23" x14ac:dyDescent="0.35">
      <c r="F14" s="7" t="s">
        <v>15</v>
      </c>
      <c r="G14" s="7">
        <v>29</v>
      </c>
      <c r="H14" s="7" t="s">
        <v>34</v>
      </c>
      <c r="M14" s="12" t="s">
        <v>30</v>
      </c>
    </row>
    <row r="15" spans="6:13" x14ac:dyDescent="0.35">
      <c r="F15" s="8" t="s">
        <v>16</v>
      </c>
      <c r="G15" s="7">
        <v>38</v>
      </c>
      <c r="H15" s="7" t="s">
        <v>34</v>
      </c>
    </row>
    <row r="16" spans="6:13" x14ac:dyDescent="0.35">
      <c r="F16" s="7" t="s">
        <v>17</v>
      </c>
      <c r="G16" s="7">
        <v>46</v>
      </c>
      <c r="H16" s="7" t="s">
        <v>33</v>
      </c>
    </row>
    <row r="17" spans="6:8" x14ac:dyDescent="0.35">
      <c r="F17" s="7" t="s">
        <v>13</v>
      </c>
      <c r="G17" s="7">
        <v>61</v>
      </c>
      <c r="H17" s="7" t="s">
        <v>32</v>
      </c>
    </row>
    <row r="18" spans="6:8" x14ac:dyDescent="0.35">
      <c r="F18" s="8" t="s">
        <v>14</v>
      </c>
      <c r="G18" s="7">
        <v>23</v>
      </c>
      <c r="H18" s="7" t="s">
        <v>34</v>
      </c>
    </row>
    <row r="19" spans="6:8" x14ac:dyDescent="0.35">
      <c r="F19" s="7" t="s">
        <v>15</v>
      </c>
      <c r="G19" s="7">
        <v>85</v>
      </c>
      <c r="H19" s="7" t="s">
        <v>31</v>
      </c>
    </row>
    <row r="20" spans="6:8" x14ac:dyDescent="0.35">
      <c r="F20" s="8" t="s">
        <v>16</v>
      </c>
      <c r="G20" s="7">
        <v>48</v>
      </c>
      <c r="H20" s="7" t="s">
        <v>33</v>
      </c>
    </row>
    <row r="21" spans="6:8" x14ac:dyDescent="0.35">
      <c r="F21" s="7" t="s">
        <v>17</v>
      </c>
      <c r="G21" s="7">
        <v>78</v>
      </c>
      <c r="H21" s="7" t="s">
        <v>31</v>
      </c>
    </row>
    <row r="22" spans="6:8" x14ac:dyDescent="0.35">
      <c r="F22" s="7" t="s">
        <v>13</v>
      </c>
      <c r="G22" s="7">
        <v>73</v>
      </c>
      <c r="H22" s="7" t="s">
        <v>32</v>
      </c>
    </row>
    <row r="23" spans="6:8" x14ac:dyDescent="0.35">
      <c r="F23" s="8" t="s">
        <v>14</v>
      </c>
      <c r="G23" s="7">
        <v>71</v>
      </c>
      <c r="H23" s="7" t="s">
        <v>32</v>
      </c>
    </row>
    <row r="24" spans="6:8" x14ac:dyDescent="0.35">
      <c r="F24" s="7" t="s">
        <v>15</v>
      </c>
      <c r="G24" s="7">
        <v>77</v>
      </c>
      <c r="H24" s="7" t="s">
        <v>31</v>
      </c>
    </row>
    <row r="25" spans="6:8" x14ac:dyDescent="0.35">
      <c r="F25" s="8" t="s">
        <v>16</v>
      </c>
      <c r="G25" s="7">
        <v>54</v>
      </c>
      <c r="H25" s="7" t="s">
        <v>33</v>
      </c>
    </row>
    <row r="26" spans="6:8" x14ac:dyDescent="0.35">
      <c r="F26" s="7" t="s">
        <v>17</v>
      </c>
      <c r="G26" s="7">
        <v>57</v>
      </c>
      <c r="H26" s="7" t="s">
        <v>33</v>
      </c>
    </row>
    <row r="27" spans="6:8" x14ac:dyDescent="0.35">
      <c r="F27" s="7" t="s">
        <v>13</v>
      </c>
      <c r="G27" s="7">
        <v>58</v>
      </c>
      <c r="H27" s="7" t="s">
        <v>33</v>
      </c>
    </row>
    <row r="28" spans="6:8" x14ac:dyDescent="0.35">
      <c r="F28" s="8" t="s">
        <v>14</v>
      </c>
      <c r="G28" s="7">
        <v>80</v>
      </c>
      <c r="H28" s="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A9264-9EBF-498D-BBE6-49FB55827844}">
  <dimension ref="F7:I28"/>
  <sheetViews>
    <sheetView workbookViewId="0">
      <selection activeCell="L15" sqref="L15"/>
    </sheetView>
  </sheetViews>
  <sheetFormatPr defaultRowHeight="14.5" x14ac:dyDescent="0.35"/>
  <cols>
    <col min="6" max="6" width="5.36328125" bestFit="1" customWidth="1"/>
    <col min="7" max="7" width="3.54296875" bestFit="1" customWidth="1"/>
    <col min="8" max="8" width="8.453125" bestFit="1" customWidth="1"/>
    <col min="9" max="9" width="8.08984375" bestFit="1" customWidth="1"/>
  </cols>
  <sheetData>
    <row r="7" spans="6:9" ht="23" x14ac:dyDescent="0.35">
      <c r="F7" s="3" t="s">
        <v>35</v>
      </c>
      <c r="G7" s="3" t="s">
        <v>36</v>
      </c>
      <c r="H7" s="3" t="s">
        <v>37</v>
      </c>
      <c r="I7" s="3" t="s">
        <v>38</v>
      </c>
    </row>
    <row r="8" spans="6:9" x14ac:dyDescent="0.35">
      <c r="F8" s="4" t="s">
        <v>21</v>
      </c>
      <c r="G8" s="4">
        <v>16</v>
      </c>
      <c r="H8" s="4">
        <v>4</v>
      </c>
      <c r="I8" s="4" t="str">
        <f>IF(AND(G8&gt;21,H8&gt;1),"Eligible","Not Eligible")</f>
        <v>Not Eligible</v>
      </c>
    </row>
    <row r="9" spans="6:9" x14ac:dyDescent="0.35">
      <c r="F9" s="5" t="s">
        <v>22</v>
      </c>
      <c r="G9" s="4">
        <v>17</v>
      </c>
      <c r="H9" s="4">
        <v>3</v>
      </c>
      <c r="I9" s="4" t="str">
        <f t="shared" ref="I9:I28" si="0">IF(AND(G9&gt;21,H9&gt;1),"Eligible","Not Eligible")</f>
        <v>Not Eligible</v>
      </c>
    </row>
    <row r="10" spans="6:9" x14ac:dyDescent="0.35">
      <c r="F10" s="4" t="s">
        <v>23</v>
      </c>
      <c r="G10" s="4">
        <v>20</v>
      </c>
      <c r="H10" s="4">
        <v>3</v>
      </c>
      <c r="I10" s="4" t="str">
        <f t="shared" si="0"/>
        <v>Not Eligible</v>
      </c>
    </row>
    <row r="11" spans="6:9" x14ac:dyDescent="0.35">
      <c r="F11" s="5" t="s">
        <v>24</v>
      </c>
      <c r="G11" s="4">
        <v>26</v>
      </c>
      <c r="H11" s="4">
        <v>0</v>
      </c>
      <c r="I11" s="4" t="str">
        <f t="shared" si="0"/>
        <v>Not Eligible</v>
      </c>
    </row>
    <row r="12" spans="6:9" x14ac:dyDescent="0.35">
      <c r="F12" s="4" t="s">
        <v>21</v>
      </c>
      <c r="G12" s="4">
        <v>23</v>
      </c>
      <c r="H12" s="4">
        <v>5</v>
      </c>
      <c r="I12" s="4" t="str">
        <f t="shared" si="0"/>
        <v>Eligible</v>
      </c>
    </row>
    <row r="13" spans="6:9" x14ac:dyDescent="0.35">
      <c r="F13" s="5" t="s">
        <v>22</v>
      </c>
      <c r="G13" s="4">
        <v>29</v>
      </c>
      <c r="H13" s="4">
        <v>5</v>
      </c>
      <c r="I13" s="4" t="str">
        <f t="shared" si="0"/>
        <v>Eligible</v>
      </c>
    </row>
    <row r="14" spans="6:9" x14ac:dyDescent="0.35">
      <c r="F14" s="4" t="s">
        <v>23</v>
      </c>
      <c r="G14" s="4">
        <v>26</v>
      </c>
      <c r="H14" s="4">
        <v>5</v>
      </c>
      <c r="I14" s="4" t="str">
        <f t="shared" si="0"/>
        <v>Eligible</v>
      </c>
    </row>
    <row r="15" spans="6:9" x14ac:dyDescent="0.35">
      <c r="F15" s="5" t="s">
        <v>24</v>
      </c>
      <c r="G15" s="4">
        <v>18</v>
      </c>
      <c r="H15" s="4">
        <v>2</v>
      </c>
      <c r="I15" s="4" t="str">
        <f t="shared" si="0"/>
        <v>Not Eligible</v>
      </c>
    </row>
    <row r="16" spans="6:9" x14ac:dyDescent="0.35">
      <c r="F16" s="4" t="s">
        <v>21</v>
      </c>
      <c r="G16" s="4">
        <v>30</v>
      </c>
      <c r="H16" s="4">
        <v>5</v>
      </c>
      <c r="I16" s="4" t="str">
        <f t="shared" si="0"/>
        <v>Eligible</v>
      </c>
    </row>
    <row r="17" spans="6:9" x14ac:dyDescent="0.35">
      <c r="F17" s="5" t="s">
        <v>22</v>
      </c>
      <c r="G17" s="4">
        <v>21</v>
      </c>
      <c r="H17" s="4">
        <v>2</v>
      </c>
      <c r="I17" s="4" t="str">
        <f t="shared" si="0"/>
        <v>Not Eligible</v>
      </c>
    </row>
    <row r="18" spans="6:9" x14ac:dyDescent="0.35">
      <c r="F18" s="4" t="s">
        <v>23</v>
      </c>
      <c r="G18" s="4">
        <v>29</v>
      </c>
      <c r="H18" s="4">
        <v>5</v>
      </c>
      <c r="I18" s="4" t="str">
        <f t="shared" si="0"/>
        <v>Eligible</v>
      </c>
    </row>
    <row r="19" spans="6:9" x14ac:dyDescent="0.35">
      <c r="F19" s="5" t="s">
        <v>24</v>
      </c>
      <c r="G19" s="4">
        <v>17</v>
      </c>
      <c r="H19" s="4">
        <v>1</v>
      </c>
      <c r="I19" s="4" t="str">
        <f t="shared" si="0"/>
        <v>Not Eligible</v>
      </c>
    </row>
    <row r="20" spans="6:9" x14ac:dyDescent="0.35">
      <c r="F20" s="4" t="s">
        <v>21</v>
      </c>
      <c r="G20" s="4">
        <v>28</v>
      </c>
      <c r="H20" s="4">
        <v>2</v>
      </c>
      <c r="I20" s="4" t="str">
        <f t="shared" si="0"/>
        <v>Eligible</v>
      </c>
    </row>
    <row r="21" spans="6:9" x14ac:dyDescent="0.35">
      <c r="F21" s="5" t="s">
        <v>22</v>
      </c>
      <c r="G21" s="4">
        <v>16</v>
      </c>
      <c r="H21" s="4">
        <v>5</v>
      </c>
      <c r="I21" s="4" t="str">
        <f t="shared" si="0"/>
        <v>Not Eligible</v>
      </c>
    </row>
    <row r="22" spans="6:9" x14ac:dyDescent="0.35">
      <c r="F22" s="4" t="s">
        <v>23</v>
      </c>
      <c r="G22" s="4">
        <v>26</v>
      </c>
      <c r="H22" s="4">
        <v>3</v>
      </c>
      <c r="I22" s="4" t="str">
        <f t="shared" si="0"/>
        <v>Eligible</v>
      </c>
    </row>
    <row r="23" spans="6:9" x14ac:dyDescent="0.35">
      <c r="F23" s="5" t="s">
        <v>24</v>
      </c>
      <c r="G23" s="4">
        <v>28</v>
      </c>
      <c r="H23" s="4">
        <v>2</v>
      </c>
      <c r="I23" s="4" t="str">
        <f t="shared" si="0"/>
        <v>Eligible</v>
      </c>
    </row>
    <row r="24" spans="6:9" x14ac:dyDescent="0.35">
      <c r="F24" s="4" t="s">
        <v>21</v>
      </c>
      <c r="G24" s="4">
        <v>27</v>
      </c>
      <c r="H24" s="4">
        <v>3</v>
      </c>
      <c r="I24" s="4" t="str">
        <f t="shared" si="0"/>
        <v>Eligible</v>
      </c>
    </row>
    <row r="25" spans="6:9" x14ac:dyDescent="0.35">
      <c r="F25" s="5" t="s">
        <v>22</v>
      </c>
      <c r="G25" s="4">
        <v>29</v>
      </c>
      <c r="H25" s="4">
        <v>4</v>
      </c>
      <c r="I25" s="4" t="str">
        <f t="shared" si="0"/>
        <v>Eligible</v>
      </c>
    </row>
    <row r="26" spans="6:9" x14ac:dyDescent="0.35">
      <c r="F26" s="4" t="s">
        <v>23</v>
      </c>
      <c r="G26" s="4">
        <v>18</v>
      </c>
      <c r="H26" s="4">
        <v>4</v>
      </c>
      <c r="I26" s="4" t="str">
        <f t="shared" si="0"/>
        <v>Not Eligible</v>
      </c>
    </row>
    <row r="27" spans="6:9" x14ac:dyDescent="0.35">
      <c r="F27" s="5" t="s">
        <v>24</v>
      </c>
      <c r="G27" s="4">
        <v>20</v>
      </c>
      <c r="H27" s="4">
        <v>5</v>
      </c>
      <c r="I27" s="4" t="str">
        <f t="shared" si="0"/>
        <v>Not Eligible</v>
      </c>
    </row>
    <row r="28" spans="6:9" x14ac:dyDescent="0.35">
      <c r="F28" s="4" t="s">
        <v>21</v>
      </c>
      <c r="G28" s="4">
        <v>23</v>
      </c>
      <c r="H28" s="4">
        <v>1</v>
      </c>
      <c r="I28" s="4" t="str">
        <f t="shared" si="0"/>
        <v>Not Eligible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2E38-5C7D-43B5-9183-86E5B7585B7C}">
  <dimension ref="E6:H27"/>
  <sheetViews>
    <sheetView topLeftCell="A10" workbookViewId="0">
      <selection activeCell="J19" sqref="J19"/>
    </sheetView>
  </sheetViews>
  <sheetFormatPr defaultRowHeight="14.5" x14ac:dyDescent="0.35"/>
  <cols>
    <col min="5" max="5" width="11" bestFit="1" customWidth="1"/>
    <col min="6" max="6" width="10.54296875" bestFit="1" customWidth="1"/>
    <col min="7" max="7" width="17.1796875" bestFit="1" customWidth="1"/>
    <col min="8" max="8" width="6.26953125" bestFit="1" customWidth="1"/>
  </cols>
  <sheetData>
    <row r="6" spans="5:8" x14ac:dyDescent="0.35">
      <c r="E6" s="6" t="s">
        <v>10</v>
      </c>
      <c r="F6" s="6" t="s">
        <v>39</v>
      </c>
      <c r="G6" s="6" t="s">
        <v>40</v>
      </c>
      <c r="H6" s="6" t="s">
        <v>38</v>
      </c>
    </row>
    <row r="7" spans="5:8" x14ac:dyDescent="0.35">
      <c r="E7" s="13" t="s">
        <v>13</v>
      </c>
      <c r="F7" s="13">
        <v>91</v>
      </c>
      <c r="G7" s="13" t="s">
        <v>42</v>
      </c>
      <c r="H7" s="13" t="str">
        <f>IF(AND(F7&gt;=75,G7="Yess"),"Yess","No")</f>
        <v>No</v>
      </c>
    </row>
    <row r="8" spans="5:8" x14ac:dyDescent="0.35">
      <c r="E8" s="14" t="s">
        <v>14</v>
      </c>
      <c r="F8" s="13">
        <v>91</v>
      </c>
      <c r="G8" s="13" t="s">
        <v>43</v>
      </c>
      <c r="H8" s="13" t="str">
        <f t="shared" ref="H8:H27" si="0">IF(AND(F8&gt;=75,G8="Yess"),"Yess","No")</f>
        <v>Yess</v>
      </c>
    </row>
    <row r="9" spans="5:8" x14ac:dyDescent="0.35">
      <c r="E9" s="13" t="s">
        <v>15</v>
      </c>
      <c r="F9" s="13">
        <v>81</v>
      </c>
      <c r="G9" s="13" t="s">
        <v>42</v>
      </c>
      <c r="H9" s="13" t="str">
        <f t="shared" si="0"/>
        <v>No</v>
      </c>
    </row>
    <row r="10" spans="5:8" x14ac:dyDescent="0.35">
      <c r="E10" s="14" t="s">
        <v>16</v>
      </c>
      <c r="F10" s="13">
        <v>77</v>
      </c>
      <c r="G10" s="13" t="s">
        <v>43</v>
      </c>
      <c r="H10" s="13" t="str">
        <f t="shared" si="0"/>
        <v>Yess</v>
      </c>
    </row>
    <row r="11" spans="5:8" x14ac:dyDescent="0.35">
      <c r="E11" s="13" t="s">
        <v>13</v>
      </c>
      <c r="F11" s="13">
        <v>96</v>
      </c>
      <c r="G11" s="13" t="s">
        <v>42</v>
      </c>
      <c r="H11" s="13" t="str">
        <f t="shared" si="0"/>
        <v>No</v>
      </c>
    </row>
    <row r="12" spans="5:8" x14ac:dyDescent="0.35">
      <c r="E12" s="14" t="s">
        <v>14</v>
      </c>
      <c r="F12" s="13">
        <v>80</v>
      </c>
      <c r="G12" s="13" t="s">
        <v>43</v>
      </c>
      <c r="H12" s="13" t="str">
        <f t="shared" si="0"/>
        <v>Yess</v>
      </c>
    </row>
    <row r="13" spans="5:8" x14ac:dyDescent="0.35">
      <c r="E13" s="13" t="s">
        <v>15</v>
      </c>
      <c r="F13" s="13">
        <v>76</v>
      </c>
      <c r="G13" s="13" t="s">
        <v>42</v>
      </c>
      <c r="H13" s="13" t="str">
        <f t="shared" si="0"/>
        <v>No</v>
      </c>
    </row>
    <row r="14" spans="5:8" x14ac:dyDescent="0.35">
      <c r="E14" s="14" t="s">
        <v>16</v>
      </c>
      <c r="F14" s="13">
        <v>100</v>
      </c>
      <c r="G14" s="13" t="s">
        <v>42</v>
      </c>
      <c r="H14" s="13" t="str">
        <f t="shared" si="0"/>
        <v>No</v>
      </c>
    </row>
    <row r="15" spans="5:8" x14ac:dyDescent="0.35">
      <c r="E15" s="13" t="s">
        <v>13</v>
      </c>
      <c r="F15" s="13">
        <v>87</v>
      </c>
      <c r="G15" s="13" t="s">
        <v>42</v>
      </c>
      <c r="H15" s="13" t="str">
        <f t="shared" si="0"/>
        <v>No</v>
      </c>
    </row>
    <row r="16" spans="5:8" x14ac:dyDescent="0.35">
      <c r="E16" s="14" t="s">
        <v>14</v>
      </c>
      <c r="F16" s="13">
        <v>94</v>
      </c>
      <c r="G16" s="13" t="s">
        <v>43</v>
      </c>
      <c r="H16" s="13" t="str">
        <f t="shared" si="0"/>
        <v>Yess</v>
      </c>
    </row>
    <row r="17" spans="5:8" x14ac:dyDescent="0.35">
      <c r="E17" s="13" t="s">
        <v>15</v>
      </c>
      <c r="F17" s="13">
        <v>73</v>
      </c>
      <c r="G17" s="13" t="s">
        <v>43</v>
      </c>
      <c r="H17" s="13" t="str">
        <f t="shared" si="0"/>
        <v>No</v>
      </c>
    </row>
    <row r="18" spans="5:8" x14ac:dyDescent="0.35">
      <c r="E18" s="14" t="s">
        <v>16</v>
      </c>
      <c r="F18" s="13">
        <v>84</v>
      </c>
      <c r="G18" s="13" t="s">
        <v>43</v>
      </c>
      <c r="H18" s="13" t="str">
        <f t="shared" si="0"/>
        <v>Yess</v>
      </c>
    </row>
    <row r="19" spans="5:8" x14ac:dyDescent="0.35">
      <c r="E19" s="13" t="s">
        <v>13</v>
      </c>
      <c r="F19" s="13">
        <v>91</v>
      </c>
      <c r="G19" s="13" t="s">
        <v>43</v>
      </c>
      <c r="H19" s="13" t="str">
        <f t="shared" si="0"/>
        <v>Yess</v>
      </c>
    </row>
    <row r="20" spans="5:8" x14ac:dyDescent="0.35">
      <c r="E20" s="14" t="s">
        <v>14</v>
      </c>
      <c r="F20" s="13">
        <v>78</v>
      </c>
      <c r="G20" s="13" t="s">
        <v>42</v>
      </c>
      <c r="H20" s="13" t="str">
        <f t="shared" si="0"/>
        <v>No</v>
      </c>
    </row>
    <row r="21" spans="5:8" x14ac:dyDescent="0.35">
      <c r="E21" s="13" t="s">
        <v>15</v>
      </c>
      <c r="F21" s="13">
        <v>83</v>
      </c>
      <c r="G21" s="13" t="s">
        <v>43</v>
      </c>
      <c r="H21" s="13" t="str">
        <f t="shared" si="0"/>
        <v>Yess</v>
      </c>
    </row>
    <row r="22" spans="5:8" x14ac:dyDescent="0.35">
      <c r="E22" s="14" t="s">
        <v>16</v>
      </c>
      <c r="F22" s="13">
        <v>79</v>
      </c>
      <c r="G22" s="13" t="s">
        <v>42</v>
      </c>
      <c r="H22" s="13" t="str">
        <f t="shared" si="0"/>
        <v>No</v>
      </c>
    </row>
    <row r="23" spans="5:8" x14ac:dyDescent="0.35">
      <c r="E23" s="13" t="s">
        <v>13</v>
      </c>
      <c r="F23" s="13">
        <v>73</v>
      </c>
      <c r="G23" s="13" t="s">
        <v>43</v>
      </c>
      <c r="H23" s="13" t="str">
        <f t="shared" si="0"/>
        <v>No</v>
      </c>
    </row>
    <row r="24" spans="5:8" x14ac:dyDescent="0.35">
      <c r="E24" s="14" t="s">
        <v>14</v>
      </c>
      <c r="F24" s="13">
        <v>75</v>
      </c>
      <c r="G24" s="13" t="s">
        <v>42</v>
      </c>
      <c r="H24" s="13" t="str">
        <f t="shared" si="0"/>
        <v>No</v>
      </c>
    </row>
    <row r="25" spans="5:8" x14ac:dyDescent="0.35">
      <c r="E25" s="13" t="s">
        <v>15</v>
      </c>
      <c r="F25" s="13">
        <v>91</v>
      </c>
      <c r="G25" s="13" t="s">
        <v>42</v>
      </c>
      <c r="H25" s="13" t="str">
        <f t="shared" si="0"/>
        <v>No</v>
      </c>
    </row>
    <row r="26" spans="5:8" x14ac:dyDescent="0.35">
      <c r="E26" s="14" t="s">
        <v>16</v>
      </c>
      <c r="F26" s="13">
        <v>83</v>
      </c>
      <c r="G26" s="13" t="s">
        <v>42</v>
      </c>
      <c r="H26" s="13" t="str">
        <f t="shared" si="0"/>
        <v>No</v>
      </c>
    </row>
    <row r="27" spans="5:8" x14ac:dyDescent="0.35">
      <c r="E27" s="13" t="s">
        <v>13</v>
      </c>
      <c r="F27" s="13">
        <v>73</v>
      </c>
      <c r="G27" s="13" t="s">
        <v>43</v>
      </c>
      <c r="H27" s="13" t="str">
        <f t="shared" si="0"/>
        <v>No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6244-E7EB-47F5-A8A9-C5842649FA54}">
  <dimension ref="F7:I27"/>
  <sheetViews>
    <sheetView topLeftCell="A7" workbookViewId="0">
      <selection activeCell="I8" sqref="I8:I27"/>
    </sheetView>
  </sheetViews>
  <sheetFormatPr defaultRowHeight="14.5" x14ac:dyDescent="0.35"/>
  <cols>
    <col min="6" max="6" width="12.36328125" bestFit="1" customWidth="1"/>
    <col min="7" max="7" width="13.453125" bestFit="1" customWidth="1"/>
    <col min="8" max="8" width="9.7265625" bestFit="1" customWidth="1"/>
    <col min="9" max="9" width="7.08984375" bestFit="1" customWidth="1"/>
  </cols>
  <sheetData>
    <row r="7" spans="6:9" x14ac:dyDescent="0.35">
      <c r="F7" s="6" t="s">
        <v>44</v>
      </c>
      <c r="G7" s="6" t="s">
        <v>45</v>
      </c>
      <c r="H7" s="6" t="s">
        <v>46</v>
      </c>
      <c r="I7" s="6" t="s">
        <v>47</v>
      </c>
    </row>
    <row r="8" spans="6:9" x14ac:dyDescent="0.35">
      <c r="F8" s="7" t="s">
        <v>48</v>
      </c>
      <c r="G8" s="7">
        <v>3415</v>
      </c>
      <c r="H8" s="7" t="s">
        <v>43</v>
      </c>
      <c r="I8" s="7" t="str">
        <f>IF(AND(G8&gt;=10000,H8="Yess"),"Yess","No")</f>
        <v>No</v>
      </c>
    </row>
    <row r="9" spans="6:9" x14ac:dyDescent="0.35">
      <c r="F9" s="8" t="s">
        <v>49</v>
      </c>
      <c r="G9" s="7">
        <v>11580</v>
      </c>
      <c r="H9" s="8" t="s">
        <v>42</v>
      </c>
      <c r="I9" s="7" t="str">
        <f t="shared" ref="I9:I27" si="0">IF(AND(G9&gt;=10000,H9="Yess"),"Yess","No")</f>
        <v>No</v>
      </c>
    </row>
    <row r="10" spans="6:9" x14ac:dyDescent="0.35">
      <c r="F10" s="7" t="s">
        <v>15</v>
      </c>
      <c r="G10" s="7">
        <v>6372</v>
      </c>
      <c r="H10" s="7" t="s">
        <v>41</v>
      </c>
      <c r="I10" s="7" t="str">
        <f t="shared" si="0"/>
        <v>No</v>
      </c>
    </row>
    <row r="11" spans="6:9" x14ac:dyDescent="0.35">
      <c r="F11" s="8" t="s">
        <v>50</v>
      </c>
      <c r="G11" s="7">
        <v>13903</v>
      </c>
      <c r="H11" s="8" t="s">
        <v>42</v>
      </c>
      <c r="I11" s="7" t="str">
        <f t="shared" si="0"/>
        <v>No</v>
      </c>
    </row>
    <row r="12" spans="6:9" x14ac:dyDescent="0.35">
      <c r="F12" s="7" t="s">
        <v>48</v>
      </c>
      <c r="G12" s="7">
        <v>5140</v>
      </c>
      <c r="H12" s="7" t="s">
        <v>43</v>
      </c>
      <c r="I12" s="7" t="str">
        <f t="shared" si="0"/>
        <v>No</v>
      </c>
    </row>
    <row r="13" spans="6:9" x14ac:dyDescent="0.35">
      <c r="F13" s="8" t="s">
        <v>49</v>
      </c>
      <c r="G13" s="7">
        <v>7561</v>
      </c>
      <c r="H13" s="8" t="s">
        <v>42</v>
      </c>
      <c r="I13" s="7" t="str">
        <f t="shared" si="0"/>
        <v>No</v>
      </c>
    </row>
    <row r="14" spans="6:9" x14ac:dyDescent="0.35">
      <c r="F14" s="7" t="s">
        <v>15</v>
      </c>
      <c r="G14" s="7">
        <v>13477</v>
      </c>
      <c r="H14" s="7" t="s">
        <v>41</v>
      </c>
      <c r="I14" s="7" t="str">
        <f t="shared" si="0"/>
        <v>No</v>
      </c>
    </row>
    <row r="15" spans="6:9" x14ac:dyDescent="0.35">
      <c r="F15" s="8" t="s">
        <v>50</v>
      </c>
      <c r="G15" s="7">
        <v>3017</v>
      </c>
      <c r="H15" s="8" t="s">
        <v>42</v>
      </c>
      <c r="I15" s="7" t="str">
        <f t="shared" si="0"/>
        <v>No</v>
      </c>
    </row>
    <row r="16" spans="6:9" x14ac:dyDescent="0.35">
      <c r="F16" s="7" t="s">
        <v>48</v>
      </c>
      <c r="G16" s="7">
        <v>14987</v>
      </c>
      <c r="H16" s="7" t="s">
        <v>43</v>
      </c>
      <c r="I16" s="7" t="str">
        <f t="shared" si="0"/>
        <v>Yess</v>
      </c>
    </row>
    <row r="17" spans="6:9" x14ac:dyDescent="0.35">
      <c r="F17" s="8" t="s">
        <v>49</v>
      </c>
      <c r="G17" s="7">
        <v>13642</v>
      </c>
      <c r="H17" s="8" t="s">
        <v>42</v>
      </c>
      <c r="I17" s="7" t="str">
        <f t="shared" si="0"/>
        <v>No</v>
      </c>
    </row>
    <row r="18" spans="6:9" x14ac:dyDescent="0.35">
      <c r="F18" s="7" t="s">
        <v>15</v>
      </c>
      <c r="G18" s="7">
        <v>2835</v>
      </c>
      <c r="H18" s="7" t="s">
        <v>41</v>
      </c>
      <c r="I18" s="7" t="str">
        <f t="shared" si="0"/>
        <v>No</v>
      </c>
    </row>
    <row r="19" spans="6:9" x14ac:dyDescent="0.35">
      <c r="F19" s="8" t="s">
        <v>50</v>
      </c>
      <c r="G19" s="7">
        <v>6069</v>
      </c>
      <c r="H19" s="8" t="s">
        <v>42</v>
      </c>
      <c r="I19" s="7" t="str">
        <f t="shared" si="0"/>
        <v>No</v>
      </c>
    </row>
    <row r="20" spans="6:9" x14ac:dyDescent="0.35">
      <c r="F20" s="7" t="s">
        <v>48</v>
      </c>
      <c r="G20" s="7">
        <v>3511</v>
      </c>
      <c r="H20" s="7" t="s">
        <v>43</v>
      </c>
      <c r="I20" s="7" t="str">
        <f t="shared" si="0"/>
        <v>No</v>
      </c>
    </row>
    <row r="21" spans="6:9" x14ac:dyDescent="0.35">
      <c r="F21" s="8" t="s">
        <v>49</v>
      </c>
      <c r="G21" s="7">
        <v>13835</v>
      </c>
      <c r="H21" s="8" t="s">
        <v>42</v>
      </c>
      <c r="I21" s="7" t="str">
        <f t="shared" si="0"/>
        <v>No</v>
      </c>
    </row>
    <row r="22" spans="6:9" x14ac:dyDescent="0.35">
      <c r="F22" s="7" t="s">
        <v>15</v>
      </c>
      <c r="G22" s="7">
        <v>13404</v>
      </c>
      <c r="H22" s="7" t="s">
        <v>41</v>
      </c>
      <c r="I22" s="7" t="str">
        <f t="shared" si="0"/>
        <v>No</v>
      </c>
    </row>
    <row r="23" spans="6:9" x14ac:dyDescent="0.35">
      <c r="F23" s="8" t="s">
        <v>50</v>
      </c>
      <c r="G23" s="7">
        <v>14568</v>
      </c>
      <c r="H23" s="8" t="s">
        <v>42</v>
      </c>
      <c r="I23" s="7" t="str">
        <f t="shared" si="0"/>
        <v>No</v>
      </c>
    </row>
    <row r="24" spans="6:9" x14ac:dyDescent="0.35">
      <c r="F24" s="7" t="s">
        <v>48</v>
      </c>
      <c r="G24" s="7">
        <v>4882</v>
      </c>
      <c r="H24" s="7" t="s">
        <v>42</v>
      </c>
      <c r="I24" s="7" t="str">
        <f t="shared" si="0"/>
        <v>No</v>
      </c>
    </row>
    <row r="25" spans="6:9" x14ac:dyDescent="0.35">
      <c r="F25" s="8" t="s">
        <v>49</v>
      </c>
      <c r="G25" s="7">
        <v>5056</v>
      </c>
      <c r="H25" s="8" t="s">
        <v>42</v>
      </c>
      <c r="I25" s="7" t="str">
        <f t="shared" si="0"/>
        <v>No</v>
      </c>
    </row>
    <row r="26" spans="6:9" x14ac:dyDescent="0.35">
      <c r="F26" s="7" t="s">
        <v>15</v>
      </c>
      <c r="G26" s="7">
        <v>4501</v>
      </c>
      <c r="H26" s="7" t="s">
        <v>41</v>
      </c>
      <c r="I26" s="7" t="str">
        <f t="shared" si="0"/>
        <v>No</v>
      </c>
    </row>
    <row r="27" spans="6:9" x14ac:dyDescent="0.35">
      <c r="F27" s="8" t="s">
        <v>50</v>
      </c>
      <c r="G27" s="7">
        <v>5389</v>
      </c>
      <c r="H27" s="8" t="s">
        <v>42</v>
      </c>
      <c r="I27" s="7" t="str">
        <f t="shared" si="0"/>
        <v>No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EEB1-DBBD-4628-8EC9-74BEAABF4C80}">
  <dimension ref="G8:J12"/>
  <sheetViews>
    <sheetView workbookViewId="0">
      <selection activeCell="J9" sqref="J9:J12"/>
    </sheetView>
  </sheetViews>
  <sheetFormatPr defaultRowHeight="14.5" x14ac:dyDescent="0.35"/>
  <cols>
    <col min="7" max="7" width="7.54296875" bestFit="1" customWidth="1"/>
    <col min="8" max="8" width="5.26953125" bestFit="1" customWidth="1"/>
    <col min="9" max="9" width="8.90625" bestFit="1" customWidth="1"/>
    <col min="10" max="10" width="9.1796875" bestFit="1" customWidth="1"/>
  </cols>
  <sheetData>
    <row r="8" spans="7:10" x14ac:dyDescent="0.35">
      <c r="G8" s="6" t="s">
        <v>51</v>
      </c>
      <c r="H8" s="6" t="s">
        <v>19</v>
      </c>
      <c r="I8" s="6" t="s">
        <v>52</v>
      </c>
      <c r="J8" s="6" t="s">
        <v>53</v>
      </c>
    </row>
    <row r="9" spans="7:10" x14ac:dyDescent="0.35">
      <c r="G9" s="7" t="s">
        <v>21</v>
      </c>
      <c r="H9" s="7">
        <v>35000</v>
      </c>
      <c r="I9" s="7">
        <v>720</v>
      </c>
      <c r="J9" s="7" t="str">
        <f>IF(OR(H9&gt;=40000,I9&gt;700),"Aprroved","Not Aprroved")</f>
        <v>Aprroved</v>
      </c>
    </row>
    <row r="10" spans="7:10" x14ac:dyDescent="0.35">
      <c r="G10" s="8" t="s">
        <v>22</v>
      </c>
      <c r="H10" s="8">
        <v>25000</v>
      </c>
      <c r="I10" s="8">
        <v>680</v>
      </c>
      <c r="J10" s="7" t="str">
        <f t="shared" ref="J10:J12" si="0">IF(OR(H10&gt;=40000,I10&gt;700),"Aprroved","Not Aprroved")</f>
        <v>Not Aprroved</v>
      </c>
    </row>
    <row r="11" spans="7:10" x14ac:dyDescent="0.35">
      <c r="G11" s="7" t="s">
        <v>23</v>
      </c>
      <c r="H11" s="7">
        <v>50000</v>
      </c>
      <c r="I11" s="7">
        <v>650</v>
      </c>
      <c r="J11" s="7" t="str">
        <f t="shared" si="0"/>
        <v>Aprroved</v>
      </c>
    </row>
    <row r="12" spans="7:10" x14ac:dyDescent="0.35">
      <c r="G12" s="8" t="s">
        <v>24</v>
      </c>
      <c r="H12" s="8">
        <v>20000</v>
      </c>
      <c r="I12" s="8">
        <v>600</v>
      </c>
      <c r="J12" s="7" t="str">
        <f t="shared" si="0"/>
        <v>Not Aprroved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C2CA-E9E4-4E29-A801-AC49CE5E920B}">
  <dimension ref="F8:H12"/>
  <sheetViews>
    <sheetView workbookViewId="0">
      <selection activeCell="H9" sqref="H9"/>
    </sheetView>
  </sheetViews>
  <sheetFormatPr defaultRowHeight="14.5" x14ac:dyDescent="0.35"/>
  <cols>
    <col min="6" max="6" width="5" bestFit="1" customWidth="1"/>
    <col min="7" max="7" width="6.1796875" bestFit="1" customWidth="1"/>
    <col min="8" max="8" width="5.26953125" bestFit="1" customWidth="1"/>
  </cols>
  <sheetData>
    <row r="8" spans="6:8" x14ac:dyDescent="0.35">
      <c r="F8" s="6" t="s">
        <v>35</v>
      </c>
      <c r="G8" s="6" t="s">
        <v>54</v>
      </c>
      <c r="H8" s="6" t="s">
        <v>55</v>
      </c>
    </row>
    <row r="9" spans="6:8" x14ac:dyDescent="0.35">
      <c r="F9" s="7" t="s">
        <v>13</v>
      </c>
      <c r="G9" s="7" t="b">
        <v>1</v>
      </c>
      <c r="H9" s="7" t="str">
        <f>IF(NOT(G9),"Absent","Present")</f>
        <v>Present</v>
      </c>
    </row>
    <row r="10" spans="6:8" x14ac:dyDescent="0.35">
      <c r="F10" s="8" t="s">
        <v>14</v>
      </c>
      <c r="G10" s="8" t="b">
        <v>0</v>
      </c>
      <c r="H10" s="7" t="str">
        <f t="shared" ref="H10:H12" si="0">IF(NOT(G10),"Absent","Present")</f>
        <v>Absent</v>
      </c>
    </row>
    <row r="11" spans="6:8" x14ac:dyDescent="0.35">
      <c r="F11" s="7" t="s">
        <v>15</v>
      </c>
      <c r="G11" s="7" t="b">
        <v>1</v>
      </c>
      <c r="H11" s="7" t="str">
        <f t="shared" si="0"/>
        <v>Present</v>
      </c>
    </row>
    <row r="12" spans="6:8" x14ac:dyDescent="0.35">
      <c r="F12" s="8" t="s">
        <v>16</v>
      </c>
      <c r="G12" s="8" t="b">
        <v>0</v>
      </c>
      <c r="H12" s="7" t="str">
        <f t="shared" si="0"/>
        <v>Absent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5885-C076-42E4-816B-D555AEF275D3}">
  <dimension ref="G7:I11"/>
  <sheetViews>
    <sheetView workbookViewId="0">
      <selection activeCell="E5" sqref="E5"/>
    </sheetView>
  </sheetViews>
  <sheetFormatPr defaultRowHeight="14.5" x14ac:dyDescent="0.35"/>
  <sheetData>
    <row r="7" spans="7:9" x14ac:dyDescent="0.35">
      <c r="G7" s="3" t="s">
        <v>56</v>
      </c>
      <c r="H7" s="3" t="s">
        <v>57</v>
      </c>
      <c r="I7" s="3" t="s">
        <v>12</v>
      </c>
    </row>
    <row r="8" spans="7:9" x14ac:dyDescent="0.35">
      <c r="G8" s="15">
        <v>10</v>
      </c>
      <c r="H8" s="15">
        <v>2</v>
      </c>
      <c r="I8" s="15">
        <f>IFERROR(G8/H8,"Invalid")</f>
        <v>5</v>
      </c>
    </row>
    <row r="9" spans="7:9" x14ac:dyDescent="0.35">
      <c r="G9" s="16">
        <v>15</v>
      </c>
      <c r="H9" s="16">
        <v>0</v>
      </c>
      <c r="I9" s="15" t="str">
        <f t="shared" ref="I9:I11" si="0">IFERROR(G9/H9,"Invalid")</f>
        <v>Invalid</v>
      </c>
    </row>
    <row r="10" spans="7:9" x14ac:dyDescent="0.35">
      <c r="G10" s="15">
        <v>20</v>
      </c>
      <c r="H10" s="15">
        <v>5</v>
      </c>
      <c r="I10" s="15">
        <f t="shared" si="0"/>
        <v>4</v>
      </c>
    </row>
    <row r="11" spans="7:9" x14ac:dyDescent="0.35">
      <c r="G11" s="16">
        <v>8</v>
      </c>
      <c r="H11" s="16">
        <v>0</v>
      </c>
      <c r="I11" s="15" t="str">
        <f t="shared" si="0"/>
        <v>Invalid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DFE3-A630-4468-B8A2-CB67BEEAAAC6}">
  <dimension ref="G8:J12"/>
  <sheetViews>
    <sheetView workbookViewId="0">
      <selection activeCell="J9" sqref="J9"/>
    </sheetView>
  </sheetViews>
  <sheetFormatPr defaultRowHeight="14.5" x14ac:dyDescent="0.35"/>
  <cols>
    <col min="7" max="7" width="12.36328125" bestFit="1" customWidth="1"/>
    <col min="8" max="8" width="13.08984375" bestFit="1" customWidth="1"/>
    <col min="9" max="9" width="10.54296875" bestFit="1" customWidth="1"/>
    <col min="10" max="10" width="9.90625" bestFit="1" customWidth="1"/>
  </cols>
  <sheetData>
    <row r="8" spans="7:10" x14ac:dyDescent="0.35">
      <c r="G8" s="6" t="s">
        <v>18</v>
      </c>
      <c r="H8" s="6" t="s">
        <v>58</v>
      </c>
      <c r="I8" s="6" t="s">
        <v>39</v>
      </c>
      <c r="J8" s="6" t="s">
        <v>3</v>
      </c>
    </row>
    <row r="9" spans="7:10" x14ac:dyDescent="0.35">
      <c r="G9" s="13" t="s">
        <v>59</v>
      </c>
      <c r="H9" s="13">
        <v>45</v>
      </c>
      <c r="I9" s="13">
        <v>92</v>
      </c>
      <c r="J9" s="13"/>
    </row>
    <row r="10" spans="7:10" x14ac:dyDescent="0.35">
      <c r="G10" s="14" t="s">
        <v>5</v>
      </c>
      <c r="H10" s="14">
        <v>38</v>
      </c>
      <c r="I10" s="14">
        <v>85</v>
      </c>
      <c r="J10" s="14"/>
    </row>
    <row r="11" spans="7:10" x14ac:dyDescent="0.35">
      <c r="G11" s="13" t="s">
        <v>6</v>
      </c>
      <c r="H11" s="13">
        <v>50</v>
      </c>
      <c r="I11" s="13">
        <v>95</v>
      </c>
      <c r="J11" s="13"/>
    </row>
    <row r="12" spans="7:10" x14ac:dyDescent="0.35">
      <c r="G12" s="14" t="s">
        <v>7</v>
      </c>
      <c r="H12" s="14">
        <v>30</v>
      </c>
      <c r="I12" s="14">
        <v>70</v>
      </c>
      <c r="J1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ASDC16</dc:creator>
  <cp:lastModifiedBy>Prit Shah</cp:lastModifiedBy>
  <dcterms:created xsi:type="dcterms:W3CDTF">2026-07-05T08:18:51Z</dcterms:created>
  <dcterms:modified xsi:type="dcterms:W3CDTF">2026-07-05T09:23:39Z</dcterms:modified>
</cp:coreProperties>
</file>