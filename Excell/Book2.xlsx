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kshil\"/>
    </mc:Choice>
  </mc:AlternateContent>
  <xr:revisionPtr revIDLastSave="0" documentId="8_{13E03317-84A2-4AE1-A224-B7D8273B8CAF}" xr6:coauthVersionLast="47" xr6:coauthVersionMax="47" xr10:uidLastSave="{00000000-0000-0000-0000-000000000000}"/>
  <bookViews>
    <workbookView xWindow="-120" yWindow="-120" windowWidth="20730" windowHeight="11040" activeTab="5" xr2:uid="{100D20D1-24ED-4CEE-81F5-BB7500591C5F}"/>
  </bookViews>
  <sheets>
    <sheet name="task 1" sheetId="1" r:id="rId1"/>
    <sheet name="task 2" sheetId="2" r:id="rId2"/>
    <sheet name="task 3" sheetId="3" r:id="rId3"/>
    <sheet name="Taks 4" sheetId="4" r:id="rId4"/>
    <sheet name="Task 5" sheetId="5" r:id="rId5"/>
    <sheet name="Task 6" sheetId="6" r:id="rId6"/>
    <sheet name="Task 7" sheetId="7" r:id="rId7"/>
    <sheet name="Task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6" l="1" a="1"/>
  <c r="I12" i="7"/>
  <c r="I11" i="7"/>
  <c r="M9" i="6"/>
  <c r="M10" i="6"/>
  <c r="M11" i="6"/>
  <c r="L9" i="6"/>
  <c r="L10" i="6"/>
  <c r="L11" i="6"/>
  <c r="L8" i="6"/>
  <c r="L13" i="5"/>
  <c r="L14" i="5"/>
  <c r="L12" i="5"/>
  <c r="K12" i="5"/>
  <c r="K14" i="5"/>
  <c r="K13" i="5"/>
  <c r="J12" i="5" a="1"/>
  <c r="H33" i="4"/>
  <c r="H32" i="4"/>
  <c r="H31" i="4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K9" i="3"/>
  <c r="K10" i="3"/>
  <c r="K11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13" i="3"/>
  <c r="H12" i="3"/>
  <c r="K12" i="3" s="1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13" i="3"/>
  <c r="K8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K15" i="3" l="1"/>
  <c r="K16" i="3"/>
  <c r="K17" i="3"/>
  <c r="K19" i="3"/>
  <c r="K20" i="3"/>
  <c r="K14" i="3"/>
  <c r="K18" i="3"/>
  <c r="K21" i="3"/>
  <c r="K22" i="3"/>
  <c r="K23" i="3"/>
  <c r="K24" i="3"/>
  <c r="K25" i="3"/>
  <c r="K26" i="3"/>
  <c r="K27" i="3"/>
  <c r="K28" i="3"/>
  <c r="K1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<sst xmlns="http://schemas.openxmlformats.org/spreadsheetml/2006/main" count="269" uniqueCount="116">
  <si>
    <t>Employee ID</t>
  </si>
  <si>
    <t>Name</t>
  </si>
  <si>
    <t>Department</t>
  </si>
  <si>
    <t>Salary</t>
  </si>
  <si>
    <t>Joining Date</t>
  </si>
  <si>
    <t>E101</t>
  </si>
  <si>
    <t>HR</t>
  </si>
  <si>
    <t>E102</t>
  </si>
  <si>
    <t>IT</t>
  </si>
  <si>
    <t>E103</t>
  </si>
  <si>
    <t>Finance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</si>
  <si>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</si>
  <si>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</si>
  <si>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</si>
  <si>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</si>
  <si>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</si>
  <si>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</si>
  <si>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</si>
  <si>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</si>
  <si>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</si>
  <si>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</si>
  <si>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</si>
  <si>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</si>
  <si>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</si>
  <si>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</si>
  <si>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</si>
  <si>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</si>
  <si>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Vinay</t>
  </si>
  <si>
    <t>Moksh</t>
  </si>
  <si>
    <t>evaan</t>
  </si>
  <si>
    <t>Namra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</si>
  <si>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</si>
  <si>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</si>
  <si>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</si>
  <si>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</si>
  <si>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</si>
  <si>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</si>
  <si>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</si>
  <si>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</si>
  <si>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</si>
  <si>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</si>
  <si>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</si>
  <si>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</si>
  <si>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</si>
  <si>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</si>
  <si>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</si>
  <si>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</si>
  <si>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</si>
  <si>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</si>
  <si>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</si>
  <si>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</si>
  <si>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</si>
  <si>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</si>
  <si>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</si>
  <si>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</si>
  <si>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</si>
  <si>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</si>
  <si>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</si>
  <si>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</si>
  <si>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</si>
  <si>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</si>
  <si>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</si>
  <si>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</si>
  <si>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</si>
  <si>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</si>
  <si>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</si>
  <si>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</si>
  <si>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</si>
  <si>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</si>
  <si>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</si>
  <si>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</si>
  <si>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</si>
  <si>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</si>
  <si>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</si>
  <si>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</si>
  <si>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</si>
  <si>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</si>
  <si>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</si>
  <si>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</si>
  <si>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</si>
  <si>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</si>
  <si>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</si>
  <si>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Total Sales</t>
  </si>
  <si>
    <t>Average Sales</t>
  </si>
  <si>
    <t>lowest Sales</t>
  </si>
  <si>
    <t>Highest Sales</t>
  </si>
  <si>
    <t>Employee Name</t>
  </si>
  <si>
    <t>Suresh</t>
  </si>
  <si>
    <t>Meena</t>
  </si>
  <si>
    <t>Karan</t>
  </si>
  <si>
    <t>Ritu</t>
  </si>
  <si>
    <t>Aman</t>
  </si>
  <si>
    <t>Neel</t>
  </si>
  <si>
    <t>Department Wise Salary Analysis</t>
  </si>
  <si>
    <t>Day 1</t>
  </si>
  <si>
    <t>Day 2</t>
  </si>
  <si>
    <t>Day 3</t>
  </si>
  <si>
    <t>Day 4</t>
  </si>
  <si>
    <t>Day 5</t>
  </si>
  <si>
    <t>P</t>
  </si>
  <si>
    <t>A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</si>
  <si>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</si>
  <si>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</si>
  <si>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</si>
  <si>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</si>
  <si>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</si>
  <si>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</si>
  <si>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</si>
  <si>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</si>
  <si>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</si>
  <si>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Product</t>
  </si>
  <si>
    <t>Mobile</t>
  </si>
  <si>
    <t>Headphones</t>
  </si>
  <si>
    <t>Laptop</t>
  </si>
  <si>
    <t>Keyboard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</si>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</sst>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4" fontId="3" fillId="3" borderId="3" xfId="0" applyNumberFormat="1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8" xfId="0" applyBorder="1" applyAlignment="1">
      <alignment horizont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Accent4" xfId="1" builtinId="41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medium">
          <color rgb="FFD1D9E0"/>
        </left>
      </border>
    </dxf>
    <dxf>
      <numFmt numFmtId="169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right style="medium">
          <color rgb="FFD1D9E0"/>
        </right>
      </border>
    </dxf>
    <dxf>
      <alignment horizontal="center" vertical="center" textRotation="0" wrapText="0" indent="0" justifyLastLine="0" shrinkToFit="0" readingOrder="0"/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B0236-D921-4EC6-B81F-D0FE16D805D9}" name="Table1" displayName="Table1" ref="A1:E20" totalsRowShown="0" headerRowDxfId="18" dataDxfId="17" headerRowBorderDxfId="24" tableBorderDxfId="25" totalsRowBorderDxfId="23">
  <autoFilter ref="A1:E20" xr:uid="{E39B0236-D921-4EC6-B81F-D0FE16D805D9}"/>
  <tableColumns count="5">
    <tableColumn id="1" xr3:uid="{AB5D61BD-29EE-4E2E-B8D1-8F728341599B}" name="Employee ID" dataDxfId="22"/>
    <tableColumn id="2" xr3:uid="{6D23DF0F-63A1-4D9E-A45B-E1C1216F8271}" name="Name" dataDxfId="16"/>
    <tableColumn id="3" xr3:uid="{753D6D47-694C-45BC-B8EE-3F387267A522}" name="Department" dataDxfId="21">
      <calculatedColumnFormula>CHOOSE(RANDBETWEEN(1,4),"HR","IT","Finance","Sales")</calculatedColumnFormula>
    </tableColumn>
    <tableColumn id="4" xr3:uid="{822FE7E2-54A5-4E12-8472-A2C1C0CDE9A3}" name="Salary" dataDxfId="20"/>
    <tableColumn id="5" xr3:uid="{64D2F1A1-6A4E-45D3-B649-7F7140EA80FA}" name="Joining Date" dataDxfId="19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5C1DA5-B5C2-44D1-A45B-7A9D28DF7270}" name="Table2" displayName="Table2" ref="A2:D21" totalsRowShown="0" headerRowDxfId="15" dataDxfId="7" headerRowBorderDxfId="13" tableBorderDxfId="14" totalsRowBorderDxfId="12">
  <autoFilter ref="A2:D21" xr:uid="{435C1DA5-B5C2-44D1-A45B-7A9D28DF7270}"/>
  <tableColumns count="4">
    <tableColumn id="1" xr3:uid="{7B4C399A-E5F2-4762-83DC-9CE14EDD1BC2}" name="Product Name" dataDxfId="11"/>
    <tableColumn id="2" xr3:uid="{96046D19-FDDC-4AC3-97F8-D2C4DE8D23CC}" name="Region" dataDxfId="10"/>
    <tableColumn id="3" xr3:uid="{12BC70BC-A245-4498-A849-FCD54DE2481F}" name="Sales Amount" dataDxfId="9"/>
    <tableColumn id="4" xr3:uid="{489C89A3-BE0D-488B-8384-773059E0409A}" name="Salesperson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2362-87F3-4745-AB9F-989B08132DF8}">
  <dimension ref="A1:E20"/>
  <sheetViews>
    <sheetView workbookViewId="0">
      <selection activeCell="E2" sqref="E2:E20"/>
    </sheetView>
  </sheetViews>
  <sheetFormatPr defaultRowHeight="15" x14ac:dyDescent="0.25"/>
  <cols>
    <col min="1" max="1" width="20" bestFit="1" customWidth="1"/>
    <col min="2" max="2" width="14.42578125" bestFit="1" customWidth="1"/>
    <col min="3" max="3" width="19.28515625" bestFit="1" customWidth="1"/>
    <col min="4" max="4" width="12.85546875" bestFit="1" customWidth="1"/>
    <col min="5" max="5" width="20" bestFit="1" customWidth="1"/>
  </cols>
  <sheetData>
    <row r="1" spans="1:5" ht="18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18" thickBot="1" x14ac:dyDescent="0.3">
      <c r="A2" s="8" t="s">
        <v>5</v>
      </c>
      <c r="B2" s="3" t="s">
        <v>30</v>
      </c>
      <c r="C2" s="3" t="str">
        <f ca="1">CHOOSE(RANDBETWEEN(1,4),"HR","IT","Finance","Sales")</f>
        <v>IT</v>
      </c>
      <c r="D2" s="3">
        <v>32000</v>
      </c>
      <c r="E2" s="9">
        <v>44573</v>
      </c>
    </row>
    <row r="3" spans="1:5" ht="18" thickBot="1" x14ac:dyDescent="0.3">
      <c r="A3" s="8" t="s">
        <v>7</v>
      </c>
      <c r="B3" s="3" t="s">
        <v>30</v>
      </c>
      <c r="C3" s="3" t="str">
        <f t="shared" ref="C3:C20" ca="1" si="0">CHOOSE(RANDBETWEEN(1,4),"HR","IT","Finance","Sales")</f>
        <v>Finance</v>
      </c>
      <c r="D3" s="3">
        <v>32000</v>
      </c>
      <c r="E3" s="9">
        <v>44574</v>
      </c>
    </row>
    <row r="4" spans="1:5" ht="18" thickBot="1" x14ac:dyDescent="0.3">
      <c r="A4" s="8" t="s">
        <v>9</v>
      </c>
      <c r="B4" s="3" t="s">
        <v>28</v>
      </c>
      <c r="C4" s="3" t="str">
        <f t="shared" ca="1" si="0"/>
        <v>Sales</v>
      </c>
      <c r="D4" s="3">
        <v>32000</v>
      </c>
      <c r="E4" s="9">
        <v>44575</v>
      </c>
    </row>
    <row r="5" spans="1:5" ht="18" thickBot="1" x14ac:dyDescent="0.3">
      <c r="A5" s="8" t="s">
        <v>11</v>
      </c>
      <c r="B5" s="3" t="s">
        <v>30</v>
      </c>
      <c r="C5" s="3" t="str">
        <f t="shared" ca="1" si="0"/>
        <v>IT</v>
      </c>
      <c r="D5" s="3">
        <v>32000</v>
      </c>
      <c r="E5" s="9">
        <v>44576</v>
      </c>
    </row>
    <row r="6" spans="1:5" ht="18" thickBot="1" x14ac:dyDescent="0.3">
      <c r="A6" s="8" t="s">
        <v>12</v>
      </c>
      <c r="B6" s="3" t="s">
        <v>30</v>
      </c>
      <c r="C6" s="3" t="str">
        <f t="shared" ca="1" si="0"/>
        <v>Finance</v>
      </c>
      <c r="D6" s="3">
        <v>32000</v>
      </c>
      <c r="E6" s="9">
        <v>44577</v>
      </c>
    </row>
    <row r="7" spans="1:5" ht="18" thickBot="1" x14ac:dyDescent="0.3">
      <c r="A7" s="8" t="s">
        <v>13</v>
      </c>
      <c r="B7" s="3" t="s">
        <v>28</v>
      </c>
      <c r="C7" s="3" t="str">
        <f t="shared" ca="1" si="0"/>
        <v>IT</v>
      </c>
      <c r="D7" s="3">
        <v>32000</v>
      </c>
      <c r="E7" s="9">
        <v>44578</v>
      </c>
    </row>
    <row r="8" spans="1:5" ht="18" thickBot="1" x14ac:dyDescent="0.3">
      <c r="A8" s="8" t="s">
        <v>14</v>
      </c>
      <c r="B8" s="3" t="s">
        <v>27</v>
      </c>
      <c r="C8" s="3" t="str">
        <f t="shared" ca="1" si="0"/>
        <v>Sales</v>
      </c>
      <c r="D8" s="3">
        <v>32000</v>
      </c>
      <c r="E8" s="9">
        <v>44579</v>
      </c>
    </row>
    <row r="9" spans="1:5" ht="18" thickBot="1" x14ac:dyDescent="0.3">
      <c r="A9" s="8" t="s">
        <v>15</v>
      </c>
      <c r="B9" s="3" t="s">
        <v>30</v>
      </c>
      <c r="C9" s="3" t="str">
        <f t="shared" ca="1" si="0"/>
        <v>Sales</v>
      </c>
      <c r="D9" s="3">
        <v>32000</v>
      </c>
      <c r="E9" s="9">
        <v>44580</v>
      </c>
    </row>
    <row r="10" spans="1:5" ht="18" thickBot="1" x14ac:dyDescent="0.3">
      <c r="A10" s="8" t="s">
        <v>16</v>
      </c>
      <c r="B10" s="3" t="s">
        <v>30</v>
      </c>
      <c r="C10" s="3" t="str">
        <f t="shared" ca="1" si="0"/>
        <v>Finance</v>
      </c>
      <c r="D10" s="3">
        <v>32000</v>
      </c>
      <c r="E10" s="9">
        <v>44581</v>
      </c>
    </row>
    <row r="11" spans="1:5" ht="18" thickBot="1" x14ac:dyDescent="0.3">
      <c r="A11" s="8" t="s">
        <v>17</v>
      </c>
      <c r="B11" s="3" t="s">
        <v>27</v>
      </c>
      <c r="C11" s="3" t="str">
        <f t="shared" ca="1" si="0"/>
        <v>Finance</v>
      </c>
      <c r="D11" s="3">
        <v>32000</v>
      </c>
      <c r="E11" s="9">
        <v>44582</v>
      </c>
    </row>
    <row r="12" spans="1:5" ht="18" thickBot="1" x14ac:dyDescent="0.3">
      <c r="A12" s="8" t="s">
        <v>18</v>
      </c>
      <c r="B12" s="3" t="s">
        <v>29</v>
      </c>
      <c r="C12" s="3" t="str">
        <f t="shared" ca="1" si="0"/>
        <v>HR</v>
      </c>
      <c r="D12" s="3">
        <v>32000</v>
      </c>
      <c r="E12" s="9">
        <v>44583</v>
      </c>
    </row>
    <row r="13" spans="1:5" ht="18" thickBot="1" x14ac:dyDescent="0.3">
      <c r="A13" s="8" t="s">
        <v>19</v>
      </c>
      <c r="B13" s="3" t="s">
        <v>30</v>
      </c>
      <c r="C13" s="3" t="str">
        <f t="shared" ca="1" si="0"/>
        <v>HR</v>
      </c>
      <c r="D13" s="3">
        <v>32000</v>
      </c>
      <c r="E13" s="9">
        <v>44584</v>
      </c>
    </row>
    <row r="14" spans="1:5" ht="18" thickBot="1" x14ac:dyDescent="0.3">
      <c r="A14" s="8" t="s">
        <v>20</v>
      </c>
      <c r="B14" s="3" t="s">
        <v>30</v>
      </c>
      <c r="C14" s="3" t="str">
        <f t="shared" ca="1" si="0"/>
        <v>IT</v>
      </c>
      <c r="D14" s="3">
        <v>32000</v>
      </c>
      <c r="E14" s="9">
        <v>44585</v>
      </c>
    </row>
    <row r="15" spans="1:5" ht="18" thickBot="1" x14ac:dyDescent="0.3">
      <c r="A15" s="8" t="s">
        <v>21</v>
      </c>
      <c r="B15" s="3" t="s">
        <v>28</v>
      </c>
      <c r="C15" s="3" t="str">
        <f t="shared" ca="1" si="0"/>
        <v>IT</v>
      </c>
      <c r="D15" s="3">
        <v>32000</v>
      </c>
      <c r="E15" s="9">
        <v>44586</v>
      </c>
    </row>
    <row r="16" spans="1:5" ht="18" thickBot="1" x14ac:dyDescent="0.3">
      <c r="A16" s="8" t="s">
        <v>22</v>
      </c>
      <c r="B16" s="3" t="s">
        <v>28</v>
      </c>
      <c r="C16" s="3" t="str">
        <f t="shared" ca="1" si="0"/>
        <v>IT</v>
      </c>
      <c r="D16" s="3">
        <v>32000</v>
      </c>
      <c r="E16" s="9">
        <v>44587</v>
      </c>
    </row>
    <row r="17" spans="1:5" ht="18" thickBot="1" x14ac:dyDescent="0.3">
      <c r="A17" s="8" t="s">
        <v>23</v>
      </c>
      <c r="B17" s="3" t="s">
        <v>28</v>
      </c>
      <c r="C17" s="3" t="str">
        <f t="shared" ca="1" si="0"/>
        <v>HR</v>
      </c>
      <c r="D17" s="3">
        <v>32000</v>
      </c>
      <c r="E17" s="9">
        <v>44588</v>
      </c>
    </row>
    <row r="18" spans="1:5" ht="18" thickBot="1" x14ac:dyDescent="0.3">
      <c r="A18" s="8" t="s">
        <v>24</v>
      </c>
      <c r="B18" s="3" t="s">
        <v>28</v>
      </c>
      <c r="C18" s="3" t="str">
        <f t="shared" ca="1" si="0"/>
        <v>Finance</v>
      </c>
      <c r="D18" s="3">
        <v>32000</v>
      </c>
      <c r="E18" s="9">
        <v>44589</v>
      </c>
    </row>
    <row r="19" spans="1:5" ht="18" thickBot="1" x14ac:dyDescent="0.3">
      <c r="A19" s="8" t="s">
        <v>25</v>
      </c>
      <c r="B19" s="3" t="s">
        <v>30</v>
      </c>
      <c r="C19" s="3" t="str">
        <f t="shared" ca="1" si="0"/>
        <v>IT</v>
      </c>
      <c r="D19" s="3">
        <v>32000</v>
      </c>
      <c r="E19" s="9">
        <v>44590</v>
      </c>
    </row>
    <row r="20" spans="1:5" ht="18" thickBot="1" x14ac:dyDescent="0.3">
      <c r="A20" s="8" t="s">
        <v>26</v>
      </c>
      <c r="B20" s="3" t="s">
        <v>29</v>
      </c>
      <c r="C20" s="3" t="str">
        <f t="shared" ca="1" si="0"/>
        <v>Sales</v>
      </c>
      <c r="D20" s="3">
        <v>32000</v>
      </c>
      <c r="E20" s="9">
        <v>44591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E7C4-FC5C-401C-872B-5F285EAE82F8}">
  <dimension ref="A1:D21"/>
  <sheetViews>
    <sheetView workbookViewId="0">
      <selection activeCell="G10" sqref="G10"/>
    </sheetView>
  </sheetViews>
  <sheetFormatPr defaultRowHeight="15" x14ac:dyDescent="0.25"/>
  <cols>
    <col min="1" max="1" width="28" customWidth="1"/>
    <col min="2" max="2" width="13.7109375" bestFit="1" customWidth="1"/>
    <col min="3" max="3" width="21.42578125" bestFit="1" customWidth="1"/>
    <col min="4" max="4" width="19.5703125" bestFit="1" customWidth="1"/>
    <col min="5" max="5" width="19.140625" customWidth="1"/>
  </cols>
  <sheetData>
    <row r="1" spans="1:4" x14ac:dyDescent="0.25">
      <c r="A1" s="15" t="s">
        <v>47</v>
      </c>
      <c r="B1" s="15"/>
      <c r="C1" s="15"/>
      <c r="D1" s="15"/>
    </row>
    <row r="2" spans="1:4" ht="18" thickBot="1" x14ac:dyDescent="0.3">
      <c r="A2" s="10" t="s">
        <v>31</v>
      </c>
      <c r="B2" s="11" t="s">
        <v>32</v>
      </c>
      <c r="C2" s="11" t="s">
        <v>33</v>
      </c>
      <c r="D2" s="12" t="s">
        <v>34</v>
      </c>
    </row>
    <row r="3" spans="1:4" ht="18" thickBot="1" x14ac:dyDescent="0.3">
      <c r="A3" s="16" t="s">
        <v>35</v>
      </c>
      <c r="B3" s="17" t="s">
        <v>39</v>
      </c>
      <c r="C3" s="18">
        <v>42115</v>
      </c>
      <c r="D3" s="19" t="s">
        <v>37</v>
      </c>
    </row>
    <row r="4" spans="1:4" ht="18" thickBot="1" x14ac:dyDescent="0.3">
      <c r="A4" s="16" t="s">
        <v>44</v>
      </c>
      <c r="B4" s="17" t="s">
        <v>45</v>
      </c>
      <c r="C4" s="18">
        <v>18512</v>
      </c>
      <c r="D4" s="20" t="s">
        <v>40</v>
      </c>
    </row>
    <row r="5" spans="1:4" ht="18" thickBot="1" x14ac:dyDescent="0.3">
      <c r="A5" s="16" t="s">
        <v>38</v>
      </c>
      <c r="B5" s="17" t="s">
        <v>45</v>
      </c>
      <c r="C5" s="18">
        <v>15954</v>
      </c>
      <c r="D5" s="19" t="s">
        <v>43</v>
      </c>
    </row>
    <row r="6" spans="1:4" ht="18" thickBot="1" x14ac:dyDescent="0.3">
      <c r="A6" s="16" t="s">
        <v>38</v>
      </c>
      <c r="B6" s="17" t="s">
        <v>36</v>
      </c>
      <c r="C6" s="18">
        <v>47939</v>
      </c>
      <c r="D6" s="21" t="s">
        <v>46</v>
      </c>
    </row>
    <row r="7" spans="1:4" ht="18" thickBot="1" x14ac:dyDescent="0.3">
      <c r="A7" s="16" t="s">
        <v>38</v>
      </c>
      <c r="B7" s="17" t="s">
        <v>39</v>
      </c>
      <c r="C7" s="18">
        <v>43626</v>
      </c>
      <c r="D7" s="19" t="s">
        <v>37</v>
      </c>
    </row>
    <row r="8" spans="1:4" ht="18" thickBot="1" x14ac:dyDescent="0.3">
      <c r="A8" s="16" t="s">
        <v>44</v>
      </c>
      <c r="B8" s="17" t="s">
        <v>36</v>
      </c>
      <c r="C8" s="18">
        <v>33039</v>
      </c>
      <c r="D8" s="20" t="s">
        <v>40</v>
      </c>
    </row>
    <row r="9" spans="1:4" ht="18" thickBot="1" x14ac:dyDescent="0.3">
      <c r="A9" s="16" t="s">
        <v>38</v>
      </c>
      <c r="B9" s="17" t="s">
        <v>42</v>
      </c>
      <c r="C9" s="18">
        <v>26516</v>
      </c>
      <c r="D9" s="19" t="s">
        <v>43</v>
      </c>
    </row>
    <row r="10" spans="1:4" ht="18" thickBot="1" x14ac:dyDescent="0.3">
      <c r="A10" s="16" t="s">
        <v>38</v>
      </c>
      <c r="B10" s="17" t="s">
        <v>36</v>
      </c>
      <c r="C10" s="18">
        <v>22095</v>
      </c>
      <c r="D10" s="21" t="s">
        <v>46</v>
      </c>
    </row>
    <row r="11" spans="1:4" ht="18" thickBot="1" x14ac:dyDescent="0.3">
      <c r="A11" s="16" t="s">
        <v>44</v>
      </c>
      <c r="B11" s="17" t="s">
        <v>39</v>
      </c>
      <c r="C11" s="18">
        <v>47454</v>
      </c>
      <c r="D11" s="19" t="s">
        <v>37</v>
      </c>
    </row>
    <row r="12" spans="1:4" ht="18" thickBot="1" x14ac:dyDescent="0.3">
      <c r="A12" s="16" t="s">
        <v>41</v>
      </c>
      <c r="B12" s="17" t="s">
        <v>42</v>
      </c>
      <c r="C12" s="18">
        <v>34795</v>
      </c>
      <c r="D12" s="20" t="s">
        <v>40</v>
      </c>
    </row>
    <row r="13" spans="1:4" ht="18" thickBot="1" x14ac:dyDescent="0.3">
      <c r="A13" s="16" t="s">
        <v>41</v>
      </c>
      <c r="B13" s="17" t="s">
        <v>39</v>
      </c>
      <c r="C13" s="18">
        <v>19337</v>
      </c>
      <c r="D13" s="19" t="s">
        <v>43</v>
      </c>
    </row>
    <row r="14" spans="1:4" ht="18" thickBot="1" x14ac:dyDescent="0.3">
      <c r="A14" s="16" t="s">
        <v>44</v>
      </c>
      <c r="B14" s="17" t="s">
        <v>36</v>
      </c>
      <c r="C14" s="18">
        <v>28794</v>
      </c>
      <c r="D14" s="21" t="s">
        <v>46</v>
      </c>
    </row>
    <row r="15" spans="1:4" ht="18" thickBot="1" x14ac:dyDescent="0.3">
      <c r="A15" s="16" t="s">
        <v>35</v>
      </c>
      <c r="B15" s="17" t="s">
        <v>36</v>
      </c>
      <c r="C15" s="18">
        <v>41142</v>
      </c>
      <c r="D15" s="19" t="s">
        <v>37</v>
      </c>
    </row>
    <row r="16" spans="1:4" ht="18" thickBot="1" x14ac:dyDescent="0.3">
      <c r="A16" s="16" t="s">
        <v>38</v>
      </c>
      <c r="B16" s="17" t="s">
        <v>39</v>
      </c>
      <c r="C16" s="18">
        <v>15225</v>
      </c>
      <c r="D16" s="20" t="s">
        <v>40</v>
      </c>
    </row>
    <row r="17" spans="1:4" ht="18" thickBot="1" x14ac:dyDescent="0.3">
      <c r="A17" s="16" t="s">
        <v>35</v>
      </c>
      <c r="B17" s="17" t="s">
        <v>42</v>
      </c>
      <c r="C17" s="18">
        <v>42051</v>
      </c>
      <c r="D17" s="19" t="s">
        <v>43</v>
      </c>
    </row>
    <row r="18" spans="1:4" ht="18" thickBot="1" x14ac:dyDescent="0.3">
      <c r="A18" s="16" t="s">
        <v>44</v>
      </c>
      <c r="B18" s="17" t="s">
        <v>42</v>
      </c>
      <c r="C18" s="18">
        <v>17563</v>
      </c>
      <c r="D18" s="21" t="s">
        <v>46</v>
      </c>
    </row>
    <row r="19" spans="1:4" ht="18" thickBot="1" x14ac:dyDescent="0.3">
      <c r="A19" s="16" t="s">
        <v>35</v>
      </c>
      <c r="B19" s="17" t="s">
        <v>45</v>
      </c>
      <c r="C19" s="18">
        <v>40950</v>
      </c>
      <c r="D19" s="19" t="s">
        <v>37</v>
      </c>
    </row>
    <row r="20" spans="1:4" ht="18" thickBot="1" x14ac:dyDescent="0.3">
      <c r="A20" s="16" t="s">
        <v>35</v>
      </c>
      <c r="B20" s="17" t="s">
        <v>39</v>
      </c>
      <c r="C20" s="18">
        <v>22567</v>
      </c>
      <c r="D20" s="20" t="s">
        <v>40</v>
      </c>
    </row>
    <row r="21" spans="1:4" ht="18" thickBot="1" x14ac:dyDescent="0.3">
      <c r="A21" s="16" t="s">
        <v>35</v>
      </c>
      <c r="B21" s="17" t="s">
        <v>42</v>
      </c>
      <c r="C21" s="18">
        <v>35294</v>
      </c>
      <c r="D21" s="19" t="s">
        <v>43</v>
      </c>
    </row>
  </sheetData>
  <mergeCells count="1">
    <mergeCell ref="A1: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0C98-F439-4A39-B071-BCBE45EB47D3}">
  <dimension ref="F6:K28"/>
  <sheetViews>
    <sheetView topLeftCell="A3" workbookViewId="0">
      <selection activeCell="I9" sqref="I9"/>
    </sheetView>
  </sheetViews>
  <sheetFormatPr defaultRowHeight="15" x14ac:dyDescent="0.25"/>
  <cols>
    <col min="6" max="6" width="9.7109375" bestFit="1" customWidth="1"/>
    <col min="7" max="7" width="17.5703125" bestFit="1" customWidth="1"/>
    <col min="8" max="8" width="8.140625" bestFit="1" customWidth="1"/>
    <col min="9" max="9" width="9.7109375" bestFit="1" customWidth="1"/>
    <col min="10" max="10" width="9.42578125" bestFit="1" customWidth="1"/>
    <col min="11" max="11" width="13.85546875" bestFit="1" customWidth="1"/>
  </cols>
  <sheetData>
    <row r="6" spans="6:11" ht="15.75" thickBot="1" x14ac:dyDescent="0.3"/>
    <row r="7" spans="6:11" ht="15.75" thickBot="1" x14ac:dyDescent="0.3">
      <c r="F7" s="25" t="s">
        <v>48</v>
      </c>
      <c r="G7" s="25" t="s">
        <v>49</v>
      </c>
      <c r="H7" s="25" t="s">
        <v>50</v>
      </c>
      <c r="I7" s="25" t="s">
        <v>51</v>
      </c>
      <c r="J7" s="25" t="s">
        <v>52</v>
      </c>
      <c r="K7" s="25" t="s">
        <v>53</v>
      </c>
    </row>
    <row r="8" spans="6:11" ht="18" thickBot="1" x14ac:dyDescent="0.3">
      <c r="F8" s="17">
        <v>1</v>
      </c>
      <c r="G8" s="17" t="s">
        <v>54</v>
      </c>
      <c r="H8" s="17">
        <v>78</v>
      </c>
      <c r="I8" s="17">
        <v>82</v>
      </c>
      <c r="J8" s="17">
        <v>74</v>
      </c>
      <c r="K8" s="23">
        <f>(H8+I8+J8)/300</f>
        <v>0.78</v>
      </c>
    </row>
    <row r="9" spans="6:11" ht="18" thickBot="1" x14ac:dyDescent="0.3">
      <c r="F9" s="24">
        <v>2</v>
      </c>
      <c r="G9" s="24" t="s">
        <v>55</v>
      </c>
      <c r="H9" s="24">
        <v>65</v>
      </c>
      <c r="I9" s="24">
        <v>70</v>
      </c>
      <c r="J9" s="24">
        <v>68</v>
      </c>
      <c r="K9" s="23">
        <f t="shared" ref="K9:K28" si="0">(H9+I9+J9)/300</f>
        <v>0.67666666666666664</v>
      </c>
    </row>
    <row r="10" spans="6:11" ht="18" thickBot="1" x14ac:dyDescent="0.3">
      <c r="F10" s="17">
        <v>3</v>
      </c>
      <c r="G10" s="17" t="s">
        <v>56</v>
      </c>
      <c r="H10" s="17">
        <v>90</v>
      </c>
      <c r="I10" s="17">
        <v>88</v>
      </c>
      <c r="J10" s="17">
        <v>92</v>
      </c>
      <c r="K10" s="23">
        <f t="shared" si="0"/>
        <v>0.9</v>
      </c>
    </row>
    <row r="11" spans="6:11" ht="18" thickBot="1" x14ac:dyDescent="0.3">
      <c r="F11" s="24">
        <v>4</v>
      </c>
      <c r="G11" s="24" t="s">
        <v>57</v>
      </c>
      <c r="H11" s="24">
        <v>35</v>
      </c>
      <c r="I11" s="24">
        <v>40</v>
      </c>
      <c r="J11" s="24">
        <v>38</v>
      </c>
      <c r="K11" s="23">
        <f t="shared" si="0"/>
        <v>0.37666666666666665</v>
      </c>
    </row>
    <row r="12" spans="6:11" ht="18" thickBot="1" x14ac:dyDescent="0.3">
      <c r="F12" s="17">
        <v>5</v>
      </c>
      <c r="G12" s="17" t="s">
        <v>58</v>
      </c>
      <c r="H12" s="22">
        <f ca="1">RANDBETWEEN(33,100)</f>
        <v>77</v>
      </c>
      <c r="I12" s="17">
        <v>60</v>
      </c>
      <c r="J12" s="17">
        <v>58</v>
      </c>
      <c r="K12" s="23">
        <f t="shared" ca="1" si="0"/>
        <v>0.65</v>
      </c>
    </row>
    <row r="13" spans="6:11" ht="18" thickBot="1" x14ac:dyDescent="0.3">
      <c r="F13" s="17">
        <v>6</v>
      </c>
      <c r="G13" s="17" t="s">
        <v>54</v>
      </c>
      <c r="H13" s="22">
        <f ca="1">RANDBETWEEN(33,100)</f>
        <v>75</v>
      </c>
      <c r="I13" s="14">
        <f ca="1">RANDBETWEEN(33,100)</f>
        <v>77</v>
      </c>
      <c r="J13" s="14">
        <f ca="1">RANDBETWEEN(33,100)</f>
        <v>39</v>
      </c>
      <c r="K13" s="23">
        <f t="shared" ca="1" si="0"/>
        <v>0.63666666666666671</v>
      </c>
    </row>
    <row r="14" spans="6:11" ht="18" thickBot="1" x14ac:dyDescent="0.3">
      <c r="F14" s="24">
        <v>7</v>
      </c>
      <c r="G14" s="24" t="s">
        <v>55</v>
      </c>
      <c r="H14" s="22">
        <f t="shared" ref="H14:J28" ca="1" si="1">RANDBETWEEN(33,100)</f>
        <v>40</v>
      </c>
      <c r="I14" s="14">
        <f t="shared" ca="1" si="1"/>
        <v>84</v>
      </c>
      <c r="J14" s="14">
        <f t="shared" ca="1" si="1"/>
        <v>86</v>
      </c>
      <c r="K14" s="23">
        <f t="shared" ca="1" si="0"/>
        <v>0.7</v>
      </c>
    </row>
    <row r="15" spans="6:11" ht="18" thickBot="1" x14ac:dyDescent="0.3">
      <c r="F15" s="17">
        <v>8</v>
      </c>
      <c r="G15" s="17" t="s">
        <v>56</v>
      </c>
      <c r="H15" s="22">
        <f t="shared" ca="1" si="1"/>
        <v>48</v>
      </c>
      <c r="I15" s="14">
        <f t="shared" ca="1" si="1"/>
        <v>37</v>
      </c>
      <c r="J15" s="14">
        <f t="shared" ca="1" si="1"/>
        <v>47</v>
      </c>
      <c r="K15" s="23">
        <f t="shared" ca="1" si="0"/>
        <v>0.44</v>
      </c>
    </row>
    <row r="16" spans="6:11" ht="18" thickBot="1" x14ac:dyDescent="0.3">
      <c r="F16" s="24">
        <v>9</v>
      </c>
      <c r="G16" s="24" t="s">
        <v>57</v>
      </c>
      <c r="H16" s="22">
        <f t="shared" ca="1" si="1"/>
        <v>80</v>
      </c>
      <c r="I16" s="14">
        <f t="shared" ca="1" si="1"/>
        <v>42</v>
      </c>
      <c r="J16" s="14">
        <f t="shared" ca="1" si="1"/>
        <v>47</v>
      </c>
      <c r="K16" s="23">
        <f t="shared" ca="1" si="0"/>
        <v>0.56333333333333335</v>
      </c>
    </row>
    <row r="17" spans="6:11" ht="18" thickBot="1" x14ac:dyDescent="0.3">
      <c r="F17" s="17">
        <v>10</v>
      </c>
      <c r="G17" s="17" t="s">
        <v>58</v>
      </c>
      <c r="H17" s="22">
        <f t="shared" ca="1" si="1"/>
        <v>53</v>
      </c>
      <c r="I17" s="14">
        <f t="shared" ca="1" si="1"/>
        <v>98</v>
      </c>
      <c r="J17" s="14">
        <f t="shared" ca="1" si="1"/>
        <v>96</v>
      </c>
      <c r="K17" s="23">
        <f t="shared" ca="1" si="0"/>
        <v>0.82333333333333336</v>
      </c>
    </row>
    <row r="18" spans="6:11" ht="18" thickBot="1" x14ac:dyDescent="0.3">
      <c r="F18" s="17">
        <v>11</v>
      </c>
      <c r="G18" s="17" t="s">
        <v>54</v>
      </c>
      <c r="H18" s="22">
        <f t="shared" ca="1" si="1"/>
        <v>79</v>
      </c>
      <c r="I18" s="14">
        <f t="shared" ca="1" si="1"/>
        <v>51</v>
      </c>
      <c r="J18" s="14">
        <f t="shared" ca="1" si="1"/>
        <v>41</v>
      </c>
      <c r="K18" s="23">
        <f t="shared" ca="1" si="0"/>
        <v>0.56999999999999995</v>
      </c>
    </row>
    <row r="19" spans="6:11" ht="18" thickBot="1" x14ac:dyDescent="0.3">
      <c r="F19" s="24">
        <v>12</v>
      </c>
      <c r="G19" s="24" t="s">
        <v>55</v>
      </c>
      <c r="H19" s="22">
        <f t="shared" ca="1" si="1"/>
        <v>82</v>
      </c>
      <c r="I19" s="14">
        <f t="shared" ca="1" si="1"/>
        <v>47</v>
      </c>
      <c r="J19" s="14">
        <f t="shared" ca="1" si="1"/>
        <v>48</v>
      </c>
      <c r="K19" s="23">
        <f t="shared" ca="1" si="0"/>
        <v>0.59</v>
      </c>
    </row>
    <row r="20" spans="6:11" ht="18" thickBot="1" x14ac:dyDescent="0.3">
      <c r="F20" s="17">
        <v>13</v>
      </c>
      <c r="G20" s="17" t="s">
        <v>56</v>
      </c>
      <c r="H20" s="22">
        <f t="shared" ca="1" si="1"/>
        <v>92</v>
      </c>
      <c r="I20" s="14">
        <f t="shared" ca="1" si="1"/>
        <v>33</v>
      </c>
      <c r="J20" s="14">
        <f t="shared" ca="1" si="1"/>
        <v>55</v>
      </c>
      <c r="K20" s="23">
        <f t="shared" ca="1" si="0"/>
        <v>0.6</v>
      </c>
    </row>
    <row r="21" spans="6:11" ht="18" thickBot="1" x14ac:dyDescent="0.3">
      <c r="F21" s="24">
        <v>14</v>
      </c>
      <c r="G21" s="24" t="s">
        <v>57</v>
      </c>
      <c r="H21" s="22">
        <f t="shared" ca="1" si="1"/>
        <v>79</v>
      </c>
      <c r="I21" s="14">
        <f t="shared" ca="1" si="1"/>
        <v>64</v>
      </c>
      <c r="J21" s="14">
        <f t="shared" ca="1" si="1"/>
        <v>71</v>
      </c>
      <c r="K21" s="23">
        <f t="shared" ca="1" si="0"/>
        <v>0.71333333333333337</v>
      </c>
    </row>
    <row r="22" spans="6:11" ht="18" thickBot="1" x14ac:dyDescent="0.3">
      <c r="F22" s="17">
        <v>15</v>
      </c>
      <c r="G22" s="17" t="s">
        <v>58</v>
      </c>
      <c r="H22" s="22">
        <f t="shared" ca="1" si="1"/>
        <v>51</v>
      </c>
      <c r="I22" s="14">
        <f t="shared" ca="1" si="1"/>
        <v>44</v>
      </c>
      <c r="J22" s="14">
        <f t="shared" ca="1" si="1"/>
        <v>86</v>
      </c>
      <c r="K22" s="23">
        <f t="shared" ca="1" si="0"/>
        <v>0.60333333333333339</v>
      </c>
    </row>
    <row r="23" spans="6:11" ht="18" thickBot="1" x14ac:dyDescent="0.3">
      <c r="F23" s="17">
        <v>16</v>
      </c>
      <c r="G23" s="17" t="s">
        <v>54</v>
      </c>
      <c r="H23" s="22">
        <f t="shared" ca="1" si="1"/>
        <v>93</v>
      </c>
      <c r="I23" s="14">
        <f t="shared" ca="1" si="1"/>
        <v>44</v>
      </c>
      <c r="J23" s="14">
        <f t="shared" ca="1" si="1"/>
        <v>91</v>
      </c>
      <c r="K23" s="23">
        <f t="shared" ca="1" si="0"/>
        <v>0.76</v>
      </c>
    </row>
    <row r="24" spans="6:11" ht="18" thickBot="1" x14ac:dyDescent="0.3">
      <c r="F24" s="24">
        <v>17</v>
      </c>
      <c r="G24" s="24" t="s">
        <v>55</v>
      </c>
      <c r="H24" s="22">
        <f t="shared" ca="1" si="1"/>
        <v>91</v>
      </c>
      <c r="I24" s="14">
        <f t="shared" ca="1" si="1"/>
        <v>65</v>
      </c>
      <c r="J24" s="14">
        <f t="shared" ca="1" si="1"/>
        <v>71</v>
      </c>
      <c r="K24" s="23">
        <f t="shared" ca="1" si="0"/>
        <v>0.75666666666666671</v>
      </c>
    </row>
    <row r="25" spans="6:11" ht="18" thickBot="1" x14ac:dyDescent="0.3">
      <c r="F25" s="17">
        <v>18</v>
      </c>
      <c r="G25" s="17" t="s">
        <v>56</v>
      </c>
      <c r="H25" s="22">
        <f t="shared" ca="1" si="1"/>
        <v>35</v>
      </c>
      <c r="I25" s="14">
        <f t="shared" ca="1" si="1"/>
        <v>38</v>
      </c>
      <c r="J25" s="14">
        <f t="shared" ca="1" si="1"/>
        <v>70</v>
      </c>
      <c r="K25" s="23">
        <f t="shared" ca="1" si="0"/>
        <v>0.47666666666666668</v>
      </c>
    </row>
    <row r="26" spans="6:11" ht="18" thickBot="1" x14ac:dyDescent="0.3">
      <c r="F26" s="24">
        <v>19</v>
      </c>
      <c r="G26" s="24" t="s">
        <v>57</v>
      </c>
      <c r="H26" s="22">
        <f t="shared" ca="1" si="1"/>
        <v>63</v>
      </c>
      <c r="I26" s="14">
        <f t="shared" ca="1" si="1"/>
        <v>61</v>
      </c>
      <c r="J26" s="14">
        <f t="shared" ca="1" si="1"/>
        <v>72</v>
      </c>
      <c r="K26" s="23">
        <f t="shared" ca="1" si="0"/>
        <v>0.65333333333333332</v>
      </c>
    </row>
    <row r="27" spans="6:11" ht="18" thickBot="1" x14ac:dyDescent="0.3">
      <c r="F27" s="17">
        <v>20</v>
      </c>
      <c r="G27" s="17" t="s">
        <v>58</v>
      </c>
      <c r="H27" s="22">
        <f t="shared" ca="1" si="1"/>
        <v>93</v>
      </c>
      <c r="I27" s="14">
        <f t="shared" ca="1" si="1"/>
        <v>65</v>
      </c>
      <c r="J27" s="14">
        <f t="shared" ca="1" si="1"/>
        <v>40</v>
      </c>
      <c r="K27" s="23">
        <f t="shared" ca="1" si="0"/>
        <v>0.66</v>
      </c>
    </row>
    <row r="28" spans="6:11" ht="18" thickBot="1" x14ac:dyDescent="0.3">
      <c r="F28" s="17">
        <v>21</v>
      </c>
      <c r="G28" s="17" t="s">
        <v>54</v>
      </c>
      <c r="H28" s="22">
        <f t="shared" ca="1" si="1"/>
        <v>91</v>
      </c>
      <c r="I28" s="14">
        <f t="shared" ca="1" si="1"/>
        <v>42</v>
      </c>
      <c r="J28" s="14">
        <f t="shared" ca="1" si="1"/>
        <v>49</v>
      </c>
      <c r="K28" s="23">
        <f t="shared" ca="1" si="0"/>
        <v>0.60666666666666669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52EC-5A0A-4A8B-8827-C8766FD30804}">
  <dimension ref="F7:H33"/>
  <sheetViews>
    <sheetView topLeftCell="A14" workbookViewId="0">
      <selection activeCell="K31" sqref="K31"/>
    </sheetView>
  </sheetViews>
  <sheetFormatPr defaultRowHeight="15" x14ac:dyDescent="0.25"/>
  <cols>
    <col min="6" max="7" width="13.42578125" bestFit="1" customWidth="1"/>
    <col min="8" max="8" width="16.85546875" bestFit="1" customWidth="1"/>
  </cols>
  <sheetData>
    <row r="7" spans="6:8" ht="15.75" thickBot="1" x14ac:dyDescent="0.3"/>
    <row r="8" spans="6:8" ht="18" thickBot="1" x14ac:dyDescent="0.3">
      <c r="F8" s="2" t="s">
        <v>59</v>
      </c>
      <c r="G8" s="2" t="s">
        <v>60</v>
      </c>
      <c r="H8" s="2" t="s">
        <v>33</v>
      </c>
    </row>
    <row r="9" spans="6:8" ht="18" thickBot="1" x14ac:dyDescent="0.3">
      <c r="F9" s="17" t="s">
        <v>61</v>
      </c>
      <c r="G9" s="27">
        <v>45292</v>
      </c>
      <c r="H9" s="17">
        <v>94672</v>
      </c>
    </row>
    <row r="10" spans="6:8" ht="18" thickBot="1" x14ac:dyDescent="0.3">
      <c r="F10" s="17" t="s">
        <v>62</v>
      </c>
      <c r="G10" s="27">
        <v>45293</v>
      </c>
      <c r="H10" s="17">
        <v>41527</v>
      </c>
    </row>
    <row r="11" spans="6:8" ht="18" thickBot="1" x14ac:dyDescent="0.3">
      <c r="F11" s="17" t="s">
        <v>63</v>
      </c>
      <c r="G11" s="27">
        <v>45294</v>
      </c>
      <c r="H11" s="17">
        <v>48713</v>
      </c>
    </row>
    <row r="12" spans="6:8" ht="18" thickBot="1" x14ac:dyDescent="0.3">
      <c r="F12" s="17" t="s">
        <v>64</v>
      </c>
      <c r="G12" s="27">
        <v>45295</v>
      </c>
      <c r="H12" s="17">
        <v>38978</v>
      </c>
    </row>
    <row r="13" spans="6:8" ht="18" thickBot="1" x14ac:dyDescent="0.3">
      <c r="F13" s="17" t="s">
        <v>65</v>
      </c>
      <c r="G13" s="27">
        <v>45296</v>
      </c>
      <c r="H13" s="17">
        <v>92002</v>
      </c>
    </row>
    <row r="14" spans="6:8" ht="18" thickBot="1" x14ac:dyDescent="0.3">
      <c r="F14" s="17" t="s">
        <v>66</v>
      </c>
      <c r="G14" s="27">
        <v>45297</v>
      </c>
      <c r="H14" s="17">
        <v>89424</v>
      </c>
    </row>
    <row r="15" spans="6:8" ht="18" thickBot="1" x14ac:dyDescent="0.3">
      <c r="F15" s="17" t="s">
        <v>67</v>
      </c>
      <c r="G15" s="27">
        <v>45298</v>
      </c>
      <c r="H15" s="17">
        <v>73535</v>
      </c>
    </row>
    <row r="16" spans="6:8" ht="18" thickBot="1" x14ac:dyDescent="0.3">
      <c r="F16" s="17" t="s">
        <v>68</v>
      </c>
      <c r="G16" s="27">
        <v>45299</v>
      </c>
      <c r="H16" s="17">
        <v>74074</v>
      </c>
    </row>
    <row r="17" spans="6:8" ht="18" thickBot="1" x14ac:dyDescent="0.3">
      <c r="F17" s="17" t="s">
        <v>69</v>
      </c>
      <c r="G17" s="27">
        <v>45300</v>
      </c>
      <c r="H17" s="17">
        <v>13246</v>
      </c>
    </row>
    <row r="18" spans="6:8" ht="18" thickBot="1" x14ac:dyDescent="0.3">
      <c r="F18" s="17" t="s">
        <v>70</v>
      </c>
      <c r="G18" s="27">
        <v>45301</v>
      </c>
      <c r="H18" s="17">
        <v>26265</v>
      </c>
    </row>
    <row r="19" spans="6:8" ht="18" thickBot="1" x14ac:dyDescent="0.3">
      <c r="F19" s="17" t="s">
        <v>71</v>
      </c>
      <c r="G19" s="27">
        <v>45302</v>
      </c>
      <c r="H19" s="17">
        <v>68382</v>
      </c>
    </row>
    <row r="20" spans="6:8" ht="18" thickBot="1" x14ac:dyDescent="0.3">
      <c r="F20" s="17" t="s">
        <v>72</v>
      </c>
      <c r="G20" s="27">
        <v>45303</v>
      </c>
      <c r="H20" s="17">
        <v>90437</v>
      </c>
    </row>
    <row r="21" spans="6:8" ht="18" thickBot="1" x14ac:dyDescent="0.3">
      <c r="F21" s="17" t="s">
        <v>73</v>
      </c>
      <c r="G21" s="27">
        <v>45304</v>
      </c>
      <c r="H21" s="17">
        <v>21676</v>
      </c>
    </row>
    <row r="22" spans="6:8" ht="18" thickBot="1" x14ac:dyDescent="0.3">
      <c r="F22" s="17" t="s">
        <v>74</v>
      </c>
      <c r="G22" s="27">
        <v>45305</v>
      </c>
      <c r="H22" s="17">
        <v>58294</v>
      </c>
    </row>
    <row r="23" spans="6:8" ht="18" thickBot="1" x14ac:dyDescent="0.3">
      <c r="F23" s="17" t="s">
        <v>75</v>
      </c>
      <c r="G23" s="27">
        <v>45306</v>
      </c>
      <c r="H23" s="17">
        <v>28521</v>
      </c>
    </row>
    <row r="24" spans="6:8" ht="18" thickBot="1" x14ac:dyDescent="0.3">
      <c r="F24" s="17" t="s">
        <v>76</v>
      </c>
      <c r="G24" s="27">
        <v>45307</v>
      </c>
      <c r="H24" s="17">
        <v>37245</v>
      </c>
    </row>
    <row r="25" spans="6:8" ht="18" thickBot="1" x14ac:dyDescent="0.3">
      <c r="F25" s="17" t="s">
        <v>77</v>
      </c>
      <c r="G25" s="27">
        <v>45308</v>
      </c>
      <c r="H25" s="17">
        <v>57522</v>
      </c>
    </row>
    <row r="26" spans="6:8" ht="18" thickBot="1" x14ac:dyDescent="0.3">
      <c r="F26" s="17" t="s">
        <v>78</v>
      </c>
      <c r="G26" s="27">
        <v>45309</v>
      </c>
      <c r="H26" s="17">
        <v>49483</v>
      </c>
    </row>
    <row r="27" spans="6:8" ht="18" thickBot="1" x14ac:dyDescent="0.3">
      <c r="F27" s="17" t="s">
        <v>79</v>
      </c>
      <c r="G27" s="27">
        <v>45310</v>
      </c>
      <c r="H27" s="17">
        <v>97607</v>
      </c>
    </row>
    <row r="28" spans="6:8" ht="18" thickBot="1" x14ac:dyDescent="0.3">
      <c r="F28" s="17" t="s">
        <v>80</v>
      </c>
      <c r="G28" s="27">
        <v>45311</v>
      </c>
      <c r="H28" s="17">
        <v>30181</v>
      </c>
    </row>
    <row r="29" spans="6:8" ht="18" thickBot="1" x14ac:dyDescent="0.3">
      <c r="F29" s="17" t="s">
        <v>81</v>
      </c>
      <c r="G29" s="27">
        <v>45312</v>
      </c>
      <c r="H29" s="17">
        <v>60513</v>
      </c>
    </row>
    <row r="30" spans="6:8" ht="17.25" x14ac:dyDescent="0.25">
      <c r="F30" s="26" t="s">
        <v>82</v>
      </c>
      <c r="G30" s="26"/>
      <c r="H30" s="28">
        <v>1192297</v>
      </c>
    </row>
    <row r="31" spans="6:8" x14ac:dyDescent="0.25">
      <c r="F31" s="15" t="s">
        <v>83</v>
      </c>
      <c r="G31" s="15"/>
      <c r="H31">
        <f>AVERAGE(H9:H29)</f>
        <v>56776.047619047618</v>
      </c>
    </row>
    <row r="32" spans="6:8" x14ac:dyDescent="0.25">
      <c r="F32" s="15" t="s">
        <v>84</v>
      </c>
      <c r="G32" s="15"/>
      <c r="H32">
        <f>MIN(H9:H29)</f>
        <v>13246</v>
      </c>
    </row>
    <row r="33" spans="6:8" x14ac:dyDescent="0.25">
      <c r="F33" s="15" t="s">
        <v>85</v>
      </c>
      <c r="G33" s="15"/>
      <c r="H33">
        <f>MAX(H9:H29)</f>
        <v>97607</v>
      </c>
    </row>
  </sheetData>
  <mergeCells count="4">
    <mergeCell ref="F30:G30"/>
    <mergeCell ref="F31:G31"/>
    <mergeCell ref="F32:G32"/>
    <mergeCell ref="F33:G3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57DD-27AB-4046-A78A-7A0887AEFF9B}">
  <dimension ref="E4:L26"/>
  <sheetViews>
    <sheetView topLeftCell="A10" workbookViewId="0">
      <selection activeCell="H17" sqref="H17"/>
    </sheetView>
  </sheetViews>
  <sheetFormatPr defaultRowHeight="15" x14ac:dyDescent="0.25"/>
  <cols>
    <col min="5" max="5" width="19.7109375" bestFit="1" customWidth="1"/>
    <col min="6" max="6" width="14.7109375" bestFit="1" customWidth="1"/>
    <col min="7" max="7" width="8.28515625" bestFit="1" customWidth="1"/>
  </cols>
  <sheetData>
    <row r="4" spans="5:12" ht="15.75" thickBot="1" x14ac:dyDescent="0.3"/>
    <row r="5" spans="5:12" ht="18" thickBot="1" x14ac:dyDescent="0.3">
      <c r="E5" s="2" t="s">
        <v>86</v>
      </c>
      <c r="F5" s="2" t="s">
        <v>2</v>
      </c>
      <c r="G5" s="2" t="s">
        <v>3</v>
      </c>
    </row>
    <row r="6" spans="5:12" ht="18" thickBot="1" x14ac:dyDescent="0.3">
      <c r="E6" s="3" t="s">
        <v>87</v>
      </c>
      <c r="F6" s="3" t="s">
        <v>6</v>
      </c>
      <c r="G6" s="3">
        <v>44075</v>
      </c>
    </row>
    <row r="7" spans="5:12" ht="18" thickBot="1" x14ac:dyDescent="0.3">
      <c r="E7" s="4" t="s">
        <v>88</v>
      </c>
      <c r="F7" s="4" t="s">
        <v>8</v>
      </c>
      <c r="G7" s="3">
        <v>82525</v>
      </c>
    </row>
    <row r="8" spans="5:12" ht="18" thickBot="1" x14ac:dyDescent="0.3">
      <c r="E8" s="3" t="s">
        <v>89</v>
      </c>
      <c r="F8" s="3" t="s">
        <v>8</v>
      </c>
      <c r="G8" s="3">
        <v>26332</v>
      </c>
    </row>
    <row r="9" spans="5:12" ht="18" thickBot="1" x14ac:dyDescent="0.3">
      <c r="E9" s="4" t="s">
        <v>90</v>
      </c>
      <c r="F9" s="4" t="s">
        <v>10</v>
      </c>
      <c r="G9" s="3">
        <v>37197</v>
      </c>
    </row>
    <row r="10" spans="5:12" ht="18" thickBot="1" x14ac:dyDescent="0.3">
      <c r="E10" s="3" t="s">
        <v>91</v>
      </c>
      <c r="F10" s="3" t="s">
        <v>6</v>
      </c>
      <c r="G10" s="3">
        <v>81518</v>
      </c>
    </row>
    <row r="11" spans="5:12" ht="18" thickBot="1" x14ac:dyDescent="0.3">
      <c r="E11" s="4" t="s">
        <v>92</v>
      </c>
      <c r="F11" s="4" t="s">
        <v>10</v>
      </c>
      <c r="G11" s="3">
        <v>21744</v>
      </c>
      <c r="J11" s="13" t="s">
        <v>93</v>
      </c>
      <c r="K11" s="13"/>
      <c r="L11" s="13"/>
    </row>
    <row r="12" spans="5:12" ht="18" thickBot="1" x14ac:dyDescent="0.3">
      <c r="E12" s="3" t="s">
        <v>87</v>
      </c>
      <c r="F12" s="3" t="s">
        <v>6</v>
      </c>
      <c r="G12" s="3">
        <v>76022</v>
      </c>
      <c r="J12" t="str" cm="1">
        <f t="array" ref="J12:J14">_xlfn.UNIQUE(F6:F11)</f>
        <v>HR</v>
      </c>
      <c r="K12">
        <f>SUMIF(F6:F11,F6,G6:G11)</f>
        <v>125593</v>
      </c>
      <c r="L12">
        <f>AVERAGEIF(F6:F11,F6,G6:G11)</f>
        <v>62796.5</v>
      </c>
    </row>
    <row r="13" spans="5:12" ht="18" thickBot="1" x14ac:dyDescent="0.3">
      <c r="E13" s="4" t="s">
        <v>88</v>
      </c>
      <c r="F13" s="4" t="s">
        <v>8</v>
      </c>
      <c r="G13" s="3">
        <v>24569</v>
      </c>
      <c r="J13" t="str">
        <v>IT</v>
      </c>
      <c r="K13">
        <f>SUMIF(F6:F11,F7,G6:G11)</f>
        <v>108857</v>
      </c>
      <c r="L13">
        <f t="shared" ref="L13:L14" si="0">AVERAGEIF(F7:F12,F7,G7:G12)</f>
        <v>54428.5</v>
      </c>
    </row>
    <row r="14" spans="5:12" ht="18" thickBot="1" x14ac:dyDescent="0.3">
      <c r="E14" s="3" t="s">
        <v>89</v>
      </c>
      <c r="F14" s="3" t="s">
        <v>8</v>
      </c>
      <c r="G14" s="3">
        <v>38120</v>
      </c>
      <c r="J14" t="str">
        <v>Finance</v>
      </c>
      <c r="K14">
        <f>SUMIF(F8:F13,F8,G8:G13)</f>
        <v>50901</v>
      </c>
      <c r="L14">
        <f t="shared" si="0"/>
        <v>25450.5</v>
      </c>
    </row>
    <row r="15" spans="5:12" ht="18" thickBot="1" x14ac:dyDescent="0.3">
      <c r="E15" s="4" t="s">
        <v>90</v>
      </c>
      <c r="F15" s="4" t="s">
        <v>10</v>
      </c>
      <c r="G15" s="3">
        <v>25178</v>
      </c>
    </row>
    <row r="16" spans="5:12" ht="18" thickBot="1" x14ac:dyDescent="0.3">
      <c r="E16" s="3" t="s">
        <v>91</v>
      </c>
      <c r="F16" s="3" t="s">
        <v>6</v>
      </c>
      <c r="G16" s="3">
        <v>78739</v>
      </c>
    </row>
    <row r="17" spans="5:7" ht="18" thickBot="1" x14ac:dyDescent="0.3">
      <c r="E17" s="4" t="s">
        <v>92</v>
      </c>
      <c r="F17" s="4" t="s">
        <v>10</v>
      </c>
      <c r="G17" s="3">
        <v>39839</v>
      </c>
    </row>
    <row r="18" spans="5:7" ht="18" thickBot="1" x14ac:dyDescent="0.3">
      <c r="E18" s="3" t="s">
        <v>87</v>
      </c>
      <c r="F18" s="3" t="s">
        <v>6</v>
      </c>
      <c r="G18" s="3">
        <v>30073</v>
      </c>
    </row>
    <row r="19" spans="5:7" ht="18" thickBot="1" x14ac:dyDescent="0.3">
      <c r="E19" s="4" t="s">
        <v>88</v>
      </c>
      <c r="F19" s="4" t="s">
        <v>8</v>
      </c>
      <c r="G19" s="3">
        <v>40439</v>
      </c>
    </row>
    <row r="20" spans="5:7" ht="18" thickBot="1" x14ac:dyDescent="0.3">
      <c r="E20" s="3" t="s">
        <v>89</v>
      </c>
      <c r="F20" s="3" t="s">
        <v>8</v>
      </c>
      <c r="G20" s="3">
        <v>86108</v>
      </c>
    </row>
    <row r="21" spans="5:7" ht="18" thickBot="1" x14ac:dyDescent="0.3">
      <c r="E21" s="4" t="s">
        <v>90</v>
      </c>
      <c r="F21" s="4" t="s">
        <v>10</v>
      </c>
      <c r="G21" s="3">
        <v>47565</v>
      </c>
    </row>
    <row r="22" spans="5:7" ht="18" thickBot="1" x14ac:dyDescent="0.3">
      <c r="E22" s="3" t="s">
        <v>91</v>
      </c>
      <c r="F22" s="3" t="s">
        <v>6</v>
      </c>
      <c r="G22" s="3">
        <v>51706</v>
      </c>
    </row>
    <row r="23" spans="5:7" ht="18" thickBot="1" x14ac:dyDescent="0.3">
      <c r="E23" s="4" t="s">
        <v>92</v>
      </c>
      <c r="F23" s="4" t="s">
        <v>10</v>
      </c>
      <c r="G23" s="3">
        <v>82014</v>
      </c>
    </row>
    <row r="24" spans="5:7" ht="18" thickBot="1" x14ac:dyDescent="0.3">
      <c r="E24" s="3" t="s">
        <v>87</v>
      </c>
      <c r="F24" s="3" t="s">
        <v>6</v>
      </c>
      <c r="G24" s="3">
        <v>74203</v>
      </c>
    </row>
    <row r="25" spans="5:7" ht="18" thickBot="1" x14ac:dyDescent="0.3">
      <c r="E25" s="4" t="s">
        <v>88</v>
      </c>
      <c r="F25" s="4" t="s">
        <v>8</v>
      </c>
      <c r="G25" s="3">
        <v>79342</v>
      </c>
    </row>
    <row r="26" spans="5:7" ht="18" thickBot="1" x14ac:dyDescent="0.3">
      <c r="E26" s="3" t="s">
        <v>89</v>
      </c>
      <c r="F26" s="3" t="s">
        <v>8</v>
      </c>
      <c r="G26" s="3">
        <v>94052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0464-B1F1-4484-A0FA-5339565B2000}">
  <dimension ref="F6:M28"/>
  <sheetViews>
    <sheetView tabSelected="1" topLeftCell="A5" workbookViewId="0">
      <selection activeCell="G8" sqref="G8"/>
    </sheetView>
  </sheetViews>
  <sheetFormatPr defaultRowHeight="15" x14ac:dyDescent="0.25"/>
  <cols>
    <col min="6" max="6" width="17.5703125" bestFit="1" customWidth="1"/>
    <col min="7" max="7" width="9.85546875" bestFit="1" customWidth="1"/>
    <col min="8" max="11" width="7.7109375" bestFit="1" customWidth="1"/>
    <col min="12" max="12" width="8.85546875" bestFit="1" customWidth="1"/>
    <col min="13" max="13" width="9" bestFit="1" customWidth="1"/>
  </cols>
  <sheetData>
    <row r="6" spans="6:13" ht="15.75" thickBot="1" x14ac:dyDescent="0.3"/>
    <row r="7" spans="6:13" ht="35.25" thickBot="1" x14ac:dyDescent="0.3">
      <c r="F7" s="1" t="s">
        <v>49</v>
      </c>
      <c r="G7" s="1" t="s">
        <v>94</v>
      </c>
      <c r="H7" s="1" t="s">
        <v>95</v>
      </c>
      <c r="I7" s="1" t="s">
        <v>96</v>
      </c>
      <c r="J7" s="1" t="s">
        <v>97</v>
      </c>
      <c r="K7" s="1" t="s">
        <v>98</v>
      </c>
      <c r="L7" s="29" t="s">
        <v>101</v>
      </c>
      <c r="M7" s="29" t="s">
        <v>102</v>
      </c>
    </row>
    <row r="8" spans="6:13" ht="18" thickBot="1" x14ac:dyDescent="0.3">
      <c r="F8" s="30" t="s">
        <v>54</v>
      </c>
      <c r="G8" s="30" t="e" cm="1">
        <f t="array" ref="G8">cho</f>
        <v>#NAME?</v>
      </c>
      <c r="H8" s="30" t="s">
        <v>100</v>
      </c>
      <c r="I8" s="30" t="s">
        <v>99</v>
      </c>
      <c r="J8" s="30" t="s">
        <v>99</v>
      </c>
      <c r="K8" s="30" t="s">
        <v>99</v>
      </c>
      <c r="L8" s="31">
        <f>COUNTIF(G8:K8,$G$8)</f>
        <v>1</v>
      </c>
      <c r="M8" s="31">
        <v>1</v>
      </c>
    </row>
    <row r="9" spans="6:13" ht="18" thickBot="1" x14ac:dyDescent="0.3">
      <c r="F9" s="32" t="s">
        <v>55</v>
      </c>
      <c r="G9" s="32" t="s">
        <v>99</v>
      </c>
      <c r="H9" s="32" t="s">
        <v>99</v>
      </c>
      <c r="I9" s="32" t="s">
        <v>99</v>
      </c>
      <c r="J9" s="32" t="s">
        <v>100</v>
      </c>
      <c r="K9" s="32" t="s">
        <v>99</v>
      </c>
      <c r="L9" s="31">
        <f t="shared" ref="L9:L11" si="0">COUNTIF(G9:K9,$G$8)</f>
        <v>0</v>
      </c>
      <c r="M9" s="31">
        <f t="shared" ref="M9:M11" si="1">COUNTIF(G9:K9,$H$8)</f>
        <v>1</v>
      </c>
    </row>
    <row r="10" spans="6:13" ht="18" thickBot="1" x14ac:dyDescent="0.3">
      <c r="F10" s="30" t="s">
        <v>56</v>
      </c>
      <c r="G10" s="30" t="s">
        <v>100</v>
      </c>
      <c r="H10" s="30" t="s">
        <v>99</v>
      </c>
      <c r="I10" s="30" t="s">
        <v>99</v>
      </c>
      <c r="J10" s="30" t="s">
        <v>99</v>
      </c>
      <c r="K10" s="30" t="s">
        <v>99</v>
      </c>
      <c r="L10" s="31">
        <f t="shared" si="0"/>
        <v>0</v>
      </c>
      <c r="M10" s="31">
        <f t="shared" si="1"/>
        <v>1</v>
      </c>
    </row>
    <row r="11" spans="6:13" ht="18" thickBot="1" x14ac:dyDescent="0.3">
      <c r="F11" s="32" t="s">
        <v>57</v>
      </c>
      <c r="G11" s="32" t="s">
        <v>99</v>
      </c>
      <c r="H11" s="32" t="s">
        <v>100</v>
      </c>
      <c r="I11" s="32" t="s">
        <v>100</v>
      </c>
      <c r="J11" s="32" t="s">
        <v>99</v>
      </c>
      <c r="K11" s="32" t="s">
        <v>100</v>
      </c>
      <c r="L11" s="31">
        <f t="shared" si="0"/>
        <v>0</v>
      </c>
      <c r="M11" s="31">
        <f t="shared" si="1"/>
        <v>3</v>
      </c>
    </row>
    <row r="12" spans="6:13" ht="18" thickBot="1" x14ac:dyDescent="0.3">
      <c r="F12" s="30" t="s">
        <v>54</v>
      </c>
    </row>
    <row r="13" spans="6:13" ht="18" thickBot="1" x14ac:dyDescent="0.3">
      <c r="F13" s="32" t="s">
        <v>55</v>
      </c>
    </row>
    <row r="14" spans="6:13" ht="18" thickBot="1" x14ac:dyDescent="0.3">
      <c r="F14" s="30" t="s">
        <v>56</v>
      </c>
    </row>
    <row r="15" spans="6:13" ht="18" thickBot="1" x14ac:dyDescent="0.3">
      <c r="F15" s="32" t="s">
        <v>57</v>
      </c>
    </row>
    <row r="16" spans="6:13" ht="18" thickBot="1" x14ac:dyDescent="0.3">
      <c r="F16" s="30" t="s">
        <v>54</v>
      </c>
    </row>
    <row r="17" spans="6:6" ht="18" thickBot="1" x14ac:dyDescent="0.3">
      <c r="F17" s="32" t="s">
        <v>55</v>
      </c>
    </row>
    <row r="18" spans="6:6" ht="18" thickBot="1" x14ac:dyDescent="0.3">
      <c r="F18" s="30" t="s">
        <v>56</v>
      </c>
    </row>
    <row r="19" spans="6:6" ht="18" thickBot="1" x14ac:dyDescent="0.3">
      <c r="F19" s="32" t="s">
        <v>57</v>
      </c>
    </row>
    <row r="20" spans="6:6" ht="18" thickBot="1" x14ac:dyDescent="0.3">
      <c r="F20" s="30" t="s">
        <v>54</v>
      </c>
    </row>
    <row r="21" spans="6:6" ht="18" thickBot="1" x14ac:dyDescent="0.3">
      <c r="F21" s="32" t="s">
        <v>55</v>
      </c>
    </row>
    <row r="22" spans="6:6" ht="18" thickBot="1" x14ac:dyDescent="0.3">
      <c r="F22" s="30" t="s">
        <v>56</v>
      </c>
    </row>
    <row r="23" spans="6:6" ht="18" thickBot="1" x14ac:dyDescent="0.3">
      <c r="F23" s="32" t="s">
        <v>57</v>
      </c>
    </row>
    <row r="24" spans="6:6" ht="18" thickBot="1" x14ac:dyDescent="0.3">
      <c r="F24" s="30" t="s">
        <v>54</v>
      </c>
    </row>
    <row r="25" spans="6:6" ht="18" thickBot="1" x14ac:dyDescent="0.3">
      <c r="F25" s="32" t="s">
        <v>55</v>
      </c>
    </row>
    <row r="26" spans="6:6" ht="18" thickBot="1" x14ac:dyDescent="0.3">
      <c r="F26" s="30" t="s">
        <v>56</v>
      </c>
    </row>
    <row r="27" spans="6:6" ht="18" thickBot="1" x14ac:dyDescent="0.3">
      <c r="F27" s="32" t="s">
        <v>57</v>
      </c>
    </row>
    <row r="28" spans="6:6" ht="18" thickBot="1" x14ac:dyDescent="0.3">
      <c r="F28" s="30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E881-E998-4964-982F-E2988AD8734A}">
  <dimension ref="G9:I16"/>
  <sheetViews>
    <sheetView topLeftCell="A4" workbookViewId="0">
      <selection activeCell="I13" sqref="I13"/>
    </sheetView>
  </sheetViews>
  <sheetFormatPr defaultRowHeight="15" x14ac:dyDescent="0.25"/>
  <cols>
    <col min="7" max="7" width="11" bestFit="1" customWidth="1"/>
    <col min="8" max="8" width="16.85546875" bestFit="1" customWidth="1"/>
  </cols>
  <sheetData>
    <row r="9" spans="7:9" ht="15.75" thickBot="1" x14ac:dyDescent="0.3"/>
    <row r="10" spans="7:9" ht="18" thickBot="1" x14ac:dyDescent="0.3">
      <c r="G10" s="2" t="s">
        <v>103</v>
      </c>
      <c r="H10" s="2" t="s">
        <v>33</v>
      </c>
    </row>
    <row r="11" spans="7:9" ht="18" thickBot="1" x14ac:dyDescent="0.3">
      <c r="G11" s="3" t="s">
        <v>104</v>
      </c>
      <c r="H11" s="3">
        <v>4500</v>
      </c>
      <c r="I11">
        <f>COUNTIF(H11:H16,"&gt;10000")</f>
        <v>3</v>
      </c>
    </row>
    <row r="12" spans="7:9" ht="18" thickBot="1" x14ac:dyDescent="0.3">
      <c r="G12" s="4" t="s">
        <v>105</v>
      </c>
      <c r="H12" s="4">
        <v>12000</v>
      </c>
      <c r="I12">
        <f>COUNTIF(H11:H16,"&lt;5000")</f>
        <v>2</v>
      </c>
    </row>
    <row r="13" spans="7:9" ht="18" thickBot="1" x14ac:dyDescent="0.3">
      <c r="G13" s="3" t="s">
        <v>106</v>
      </c>
      <c r="H13" s="3">
        <v>8000</v>
      </c>
    </row>
    <row r="14" spans="7:9" ht="18" thickBot="1" x14ac:dyDescent="0.3">
      <c r="G14" s="4" t="s">
        <v>107</v>
      </c>
      <c r="H14" s="4">
        <v>25000</v>
      </c>
    </row>
    <row r="15" spans="7:9" ht="18" thickBot="1" x14ac:dyDescent="0.3">
      <c r="G15" s="3" t="s">
        <v>108</v>
      </c>
      <c r="H15" s="3">
        <v>3000</v>
      </c>
    </row>
    <row r="16" spans="7:9" ht="18" thickBot="1" x14ac:dyDescent="0.3">
      <c r="G16" s="4" t="s">
        <v>109</v>
      </c>
      <c r="H16" s="4">
        <v>15000</v>
      </c>
    </row>
  </sheetData>
  <conditionalFormatting sqref="H11:H16">
    <cfRule type="cellIs" dxfId="6" priority="1" operator="greaterThan">
      <formula>10000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056F-A0F7-431E-9D9C-CD2B9424C52A}">
  <dimension ref="H8:I14"/>
  <sheetViews>
    <sheetView topLeftCell="A4" workbookViewId="0">
      <selection activeCell="K12" sqref="K12"/>
    </sheetView>
  </sheetViews>
  <sheetFormatPr defaultRowHeight="15" x14ac:dyDescent="0.25"/>
  <cols>
    <col min="8" max="8" width="13.85546875" bestFit="1" customWidth="1"/>
    <col min="9" max="9" width="16.85546875" bestFit="1" customWidth="1"/>
  </cols>
  <sheetData>
    <row r="8" spans="8:9" ht="15.75" thickBot="1" x14ac:dyDescent="0.3"/>
    <row r="9" spans="8:9" ht="18" thickBot="1" x14ac:dyDescent="0.3">
      <c r="H9" s="2" t="s">
        <v>110</v>
      </c>
      <c r="I9" s="2" t="s">
        <v>33</v>
      </c>
    </row>
    <row r="10" spans="8:9" ht="18" thickBot="1" x14ac:dyDescent="0.3">
      <c r="H10" s="3" t="s">
        <v>111</v>
      </c>
      <c r="I10" s="3">
        <v>22000</v>
      </c>
    </row>
    <row r="11" spans="8:9" ht="18" thickBot="1" x14ac:dyDescent="0.3">
      <c r="H11" s="4" t="s">
        <v>112</v>
      </c>
      <c r="I11" s="4">
        <v>3500</v>
      </c>
    </row>
    <row r="12" spans="8:9" ht="18" thickBot="1" x14ac:dyDescent="0.3">
      <c r="H12" s="3" t="s">
        <v>113</v>
      </c>
      <c r="I12" s="3">
        <v>58000</v>
      </c>
    </row>
    <row r="13" spans="8:9" ht="18" thickBot="1" x14ac:dyDescent="0.3">
      <c r="H13" s="4" t="s">
        <v>114</v>
      </c>
      <c r="I13" s="4">
        <v>1800</v>
      </c>
    </row>
    <row r="14" spans="8:9" ht="18" thickBot="1" x14ac:dyDescent="0.3">
      <c r="H14" s="3" t="s">
        <v>115</v>
      </c>
      <c r="I14" s="3">
        <v>12000</v>
      </c>
    </row>
  </sheetData>
  <conditionalFormatting sqref="I10:I14">
    <cfRule type="cellIs" dxfId="0" priority="3" operator="greaterThan">
      <formula>20000</formula>
    </cfRule>
    <cfRule type="cellIs" dxfId="1" priority="2" operator="greaterThan">
      <formula>20000</formula>
    </cfRule>
    <cfRule type="cellIs" dxfId="2" priority="1" operator="lessThan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 1</vt:lpstr>
      <vt:lpstr>task 2</vt:lpstr>
      <vt:lpstr>task 3</vt:lpstr>
      <vt:lpstr>Taks 4</vt:lpstr>
      <vt:lpstr>Task 5</vt:lpstr>
      <vt:lpstr>Task 6</vt:lpstr>
      <vt:lpstr>Task 7</vt:lpstr>
      <vt:lpstr>Task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ASDC66</dc:creator>
  <cp:lastModifiedBy>ASDC66</cp:lastModifiedBy>
  <dcterms:created xsi:type="dcterms:W3CDTF">2026-07-04T08:27:53Z</dcterms:created>
  <dcterms:modified xsi:type="dcterms:W3CDTF">2026-07-04T10:00:53Z</dcterms:modified>
</cp:coreProperties>
</file>